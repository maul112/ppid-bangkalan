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b86e3319101ab4/Dokumen/Project spk/"/>
    </mc:Choice>
  </mc:AlternateContent>
  <xr:revisionPtr revIDLastSave="0" documentId="8_{29C56FE0-C193-455C-A896-47B9CE48F05E}" xr6:coauthVersionLast="47" xr6:coauthVersionMax="47" xr10:uidLastSave="{00000000-0000-0000-0000-000000000000}"/>
  <bookViews>
    <workbookView xWindow="-110" yWindow="-110" windowWidth="19420" windowHeight="10300" xr2:uid="{9E046E3C-61F2-4F83-A791-512F392D6B0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4" i="2" l="1"/>
  <c r="B133" i="2"/>
  <c r="C137" i="2" s="1"/>
  <c r="B132" i="2"/>
  <c r="B131" i="2"/>
  <c r="B130" i="2"/>
  <c r="M81" i="2"/>
  <c r="M80" i="2"/>
  <c r="M79" i="2"/>
  <c r="M78" i="2"/>
  <c r="M77" i="2"/>
  <c r="M76" i="2"/>
  <c r="C63" i="2"/>
  <c r="D64" i="2"/>
  <c r="E64" i="2"/>
  <c r="F64" i="2"/>
  <c r="G64" i="2"/>
  <c r="H64" i="2"/>
  <c r="C64" i="2"/>
  <c r="H63" i="2"/>
  <c r="D63" i="2"/>
  <c r="E63" i="2"/>
  <c r="F63" i="2"/>
  <c r="G63" i="2"/>
  <c r="C141" i="2" l="1"/>
  <c r="C139" i="2"/>
  <c r="C138" i="2"/>
  <c r="E70" i="2"/>
  <c r="F69" i="2"/>
  <c r="H120" i="2"/>
  <c r="H113" i="2"/>
  <c r="F106" i="2"/>
  <c r="F99" i="2"/>
  <c r="F92" i="2"/>
  <c r="H88" i="2"/>
  <c r="D85" i="2"/>
  <c r="G79" i="2"/>
  <c r="D73" i="2"/>
  <c r="G120" i="2"/>
  <c r="G95" i="2"/>
  <c r="H67" i="2"/>
  <c r="H125" i="2"/>
  <c r="H123" i="2"/>
  <c r="D122" i="2"/>
  <c r="F120" i="2"/>
  <c r="F118" i="2"/>
  <c r="H116" i="2"/>
  <c r="D115" i="2"/>
  <c r="D113" i="2"/>
  <c r="F111" i="2"/>
  <c r="H109" i="2"/>
  <c r="H107" i="2"/>
  <c r="D106" i="2"/>
  <c r="F104" i="2"/>
  <c r="F102" i="2"/>
  <c r="H100" i="2"/>
  <c r="D99" i="2"/>
  <c r="D97" i="2"/>
  <c r="F95" i="2"/>
  <c r="H93" i="2"/>
  <c r="H91" i="2"/>
  <c r="D90" i="2"/>
  <c r="F88" i="2"/>
  <c r="F86" i="2"/>
  <c r="H84" i="2"/>
  <c r="D83" i="2"/>
  <c r="D81" i="2"/>
  <c r="E79" i="2"/>
  <c r="G75" i="2"/>
  <c r="G72" i="2"/>
  <c r="C69" i="2"/>
  <c r="F68" i="2"/>
  <c r="F122" i="2"/>
  <c r="F115" i="2"/>
  <c r="F108" i="2"/>
  <c r="D101" i="2"/>
  <c r="H95" i="2"/>
  <c r="F90" i="2"/>
  <c r="D87" i="2"/>
  <c r="H81" i="2"/>
  <c r="D70" i="2"/>
  <c r="E68" i="2"/>
  <c r="C124" i="2"/>
  <c r="C117" i="2"/>
  <c r="E113" i="2"/>
  <c r="C110" i="2"/>
  <c r="E106" i="2"/>
  <c r="G102" i="2"/>
  <c r="E99" i="2"/>
  <c r="C92" i="2"/>
  <c r="G88" i="2"/>
  <c r="C85" i="2"/>
  <c r="E81" i="2"/>
  <c r="C73" i="2"/>
  <c r="G67" i="2"/>
  <c r="E125" i="2"/>
  <c r="G123" i="2"/>
  <c r="C122" i="2"/>
  <c r="C120" i="2"/>
  <c r="E118" i="2"/>
  <c r="G116" i="2"/>
  <c r="G114" i="2"/>
  <c r="C113" i="2"/>
  <c r="E111" i="2"/>
  <c r="E109" i="2"/>
  <c r="G107" i="2"/>
  <c r="C106" i="2"/>
  <c r="C104" i="2"/>
  <c r="E102" i="2"/>
  <c r="G100" i="2"/>
  <c r="G98" i="2"/>
  <c r="C97" i="2"/>
  <c r="E95" i="2"/>
  <c r="E93" i="2"/>
  <c r="G91" i="2"/>
  <c r="C90" i="2"/>
  <c r="C88" i="2"/>
  <c r="E86" i="2"/>
  <c r="G84" i="2"/>
  <c r="G82" i="2"/>
  <c r="C81" i="2"/>
  <c r="G78" i="2"/>
  <c r="F75" i="2"/>
  <c r="C72" i="2"/>
  <c r="F124" i="2"/>
  <c r="D117" i="2"/>
  <c r="D110" i="2"/>
  <c r="D103" i="2"/>
  <c r="D94" i="2"/>
  <c r="H76" i="2"/>
  <c r="C126" i="2"/>
  <c r="G118" i="2"/>
  <c r="E115" i="2"/>
  <c r="G111" i="2"/>
  <c r="C108" i="2"/>
  <c r="G104" i="2"/>
  <c r="C101" i="2"/>
  <c r="C94" i="2"/>
  <c r="E90" i="2"/>
  <c r="G86" i="2"/>
  <c r="E83" i="2"/>
  <c r="F79" i="2"/>
  <c r="G76" i="2"/>
  <c r="D69" i="2"/>
  <c r="C67" i="2"/>
  <c r="F67" i="2"/>
  <c r="D125" i="2"/>
  <c r="F123" i="2"/>
  <c r="H121" i="2"/>
  <c r="H119" i="2"/>
  <c r="D118" i="2"/>
  <c r="F116" i="2"/>
  <c r="F114" i="2"/>
  <c r="H112" i="2"/>
  <c r="D111" i="2"/>
  <c r="D109" i="2"/>
  <c r="F107" i="2"/>
  <c r="H105" i="2"/>
  <c r="H103" i="2"/>
  <c r="D102" i="2"/>
  <c r="F100" i="2"/>
  <c r="F98" i="2"/>
  <c r="H96" i="2"/>
  <c r="D95" i="2"/>
  <c r="D93" i="2"/>
  <c r="F91" i="2"/>
  <c r="H89" i="2"/>
  <c r="H87" i="2"/>
  <c r="D86" i="2"/>
  <c r="F84" i="2"/>
  <c r="F82" i="2"/>
  <c r="H80" i="2"/>
  <c r="F78" i="2"/>
  <c r="E75" i="2"/>
  <c r="F71" i="2"/>
  <c r="D126" i="2"/>
  <c r="D119" i="2"/>
  <c r="H111" i="2"/>
  <c r="H104" i="2"/>
  <c r="H97" i="2"/>
  <c r="F83" i="2"/>
  <c r="E122" i="2"/>
  <c r="E97" i="2"/>
  <c r="D67" i="2"/>
  <c r="G126" i="2"/>
  <c r="C125" i="2"/>
  <c r="E123" i="2"/>
  <c r="E121" i="2"/>
  <c r="G119" i="2"/>
  <c r="C118" i="2"/>
  <c r="C116" i="2"/>
  <c r="E114" i="2"/>
  <c r="G112" i="2"/>
  <c r="G110" i="2"/>
  <c r="C109" i="2"/>
  <c r="E107" i="2"/>
  <c r="E105" i="2"/>
  <c r="G103" i="2"/>
  <c r="C102" i="2"/>
  <c r="C100" i="2"/>
  <c r="E98" i="2"/>
  <c r="G96" i="2"/>
  <c r="G94" i="2"/>
  <c r="C93" i="2"/>
  <c r="E91" i="2"/>
  <c r="E89" i="2"/>
  <c r="G87" i="2"/>
  <c r="C86" i="2"/>
  <c r="C84" i="2"/>
  <c r="E82" i="2"/>
  <c r="G80" i="2"/>
  <c r="C78" i="2"/>
  <c r="F74" i="2"/>
  <c r="E71" i="2"/>
  <c r="D68" i="2"/>
  <c r="F126" i="2"/>
  <c r="H124" i="2"/>
  <c r="D123" i="2"/>
  <c r="D121" i="2"/>
  <c r="F119" i="2"/>
  <c r="H117" i="2"/>
  <c r="H115" i="2"/>
  <c r="D114" i="2"/>
  <c r="F112" i="2"/>
  <c r="F110" i="2"/>
  <c r="H108" i="2"/>
  <c r="D107" i="2"/>
  <c r="D105" i="2"/>
  <c r="F103" i="2"/>
  <c r="H101" i="2"/>
  <c r="H99" i="2"/>
  <c r="D98" i="2"/>
  <c r="F96" i="2"/>
  <c r="F94" i="2"/>
  <c r="H92" i="2"/>
  <c r="D91" i="2"/>
  <c r="D89" i="2"/>
  <c r="F87" i="2"/>
  <c r="H85" i="2"/>
  <c r="H83" i="2"/>
  <c r="D82" i="2"/>
  <c r="C80" i="2"/>
  <c r="E77" i="2"/>
  <c r="E74" i="2"/>
  <c r="G70" i="2"/>
  <c r="G68" i="2"/>
  <c r="E126" i="2"/>
  <c r="G124" i="2"/>
  <c r="G122" i="2"/>
  <c r="C121" i="2"/>
  <c r="E119" i="2"/>
  <c r="E117" i="2"/>
  <c r="G115" i="2"/>
  <c r="C114" i="2"/>
  <c r="C112" i="2"/>
  <c r="E110" i="2"/>
  <c r="G108" i="2"/>
  <c r="G106" i="2"/>
  <c r="C105" i="2"/>
  <c r="E103" i="2"/>
  <c r="E101" i="2"/>
  <c r="G99" i="2"/>
  <c r="C98" i="2"/>
  <c r="C96" i="2"/>
  <c r="E94" i="2"/>
  <c r="G92" i="2"/>
  <c r="G90" i="2"/>
  <c r="C89" i="2"/>
  <c r="E87" i="2"/>
  <c r="E85" i="2"/>
  <c r="G83" i="2"/>
  <c r="C82" i="2"/>
  <c r="H79" i="2"/>
  <c r="D77" i="2"/>
  <c r="E73" i="2"/>
  <c r="C77" i="2"/>
  <c r="G74" i="2"/>
  <c r="H72" i="2"/>
  <c r="F70" i="2"/>
  <c r="E78" i="2"/>
  <c r="C76" i="2"/>
  <c r="D74" i="2"/>
  <c r="H71" i="2"/>
  <c r="C70" i="2"/>
  <c r="D78" i="2"/>
  <c r="H75" i="2"/>
  <c r="C74" i="2"/>
  <c r="G71" i="2"/>
  <c r="E69" i="2"/>
  <c r="C68" i="2"/>
  <c r="E67" i="2"/>
  <c r="G125" i="2"/>
  <c r="E124" i="2"/>
  <c r="C123" i="2"/>
  <c r="G121" i="2"/>
  <c r="E120" i="2"/>
  <c r="C119" i="2"/>
  <c r="G117" i="2"/>
  <c r="E116" i="2"/>
  <c r="C115" i="2"/>
  <c r="G113" i="2"/>
  <c r="E112" i="2"/>
  <c r="C111" i="2"/>
  <c r="G109" i="2"/>
  <c r="E108" i="2"/>
  <c r="C107" i="2"/>
  <c r="G105" i="2"/>
  <c r="E104" i="2"/>
  <c r="C103" i="2"/>
  <c r="G101" i="2"/>
  <c r="E100" i="2"/>
  <c r="C99" i="2"/>
  <c r="C169" i="2" s="1"/>
  <c r="G97" i="2"/>
  <c r="E96" i="2"/>
  <c r="C95" i="2"/>
  <c r="G93" i="2"/>
  <c r="E92" i="2"/>
  <c r="C91" i="2"/>
  <c r="G89" i="2"/>
  <c r="E88" i="2"/>
  <c r="C87" i="2"/>
  <c r="G85" i="2"/>
  <c r="E84" i="2"/>
  <c r="C83" i="2"/>
  <c r="G81" i="2"/>
  <c r="E80" i="2"/>
  <c r="C79" i="2"/>
  <c r="G77" i="2"/>
  <c r="E76" i="2"/>
  <c r="C75" i="2"/>
  <c r="G73" i="2"/>
  <c r="E72" i="2"/>
  <c r="C71" i="2"/>
  <c r="G69" i="2"/>
  <c r="F80" i="2"/>
  <c r="D79" i="2"/>
  <c r="H77" i="2"/>
  <c r="F76" i="2"/>
  <c r="D75" i="2"/>
  <c r="H73" i="2"/>
  <c r="F72" i="2"/>
  <c r="D71" i="2"/>
  <c r="H69" i="2"/>
  <c r="H68" i="2"/>
  <c r="H126" i="2"/>
  <c r="F125" i="2"/>
  <c r="D124" i="2"/>
  <c r="C194" i="2" s="1"/>
  <c r="H122" i="2"/>
  <c r="F121" i="2"/>
  <c r="D120" i="2"/>
  <c r="H118" i="2"/>
  <c r="F117" i="2"/>
  <c r="D116" i="2"/>
  <c r="H114" i="2"/>
  <c r="C184" i="2" s="1"/>
  <c r="F113" i="2"/>
  <c r="C183" i="2" s="1"/>
  <c r="D112" i="2"/>
  <c r="H110" i="2"/>
  <c r="F109" i="2"/>
  <c r="D108" i="2"/>
  <c r="H106" i="2"/>
  <c r="F105" i="2"/>
  <c r="D104" i="2"/>
  <c r="H102" i="2"/>
  <c r="C172" i="2" s="1"/>
  <c r="F101" i="2"/>
  <c r="D100" i="2"/>
  <c r="H98" i="2"/>
  <c r="F97" i="2"/>
  <c r="D96" i="2"/>
  <c r="H94" i="2"/>
  <c r="F93" i="2"/>
  <c r="D92" i="2"/>
  <c r="C162" i="2" s="1"/>
  <c r="H90" i="2"/>
  <c r="F89" i="2"/>
  <c r="D88" i="2"/>
  <c r="H86" i="2"/>
  <c r="F85" i="2"/>
  <c r="D84" i="2"/>
  <c r="H82" i="2"/>
  <c r="F81" i="2"/>
  <c r="C151" i="2" s="1"/>
  <c r="D80" i="2"/>
  <c r="H78" i="2"/>
  <c r="F77" i="2"/>
  <c r="D76" i="2"/>
  <c r="H74" i="2"/>
  <c r="F73" i="2"/>
  <c r="D72" i="2"/>
  <c r="H70" i="2"/>
  <c r="C157" i="2" l="1"/>
  <c r="C168" i="2"/>
  <c r="C180" i="2"/>
  <c r="C160" i="2"/>
  <c r="C192" i="2"/>
  <c r="C153" i="2"/>
  <c r="C185" i="2"/>
  <c r="C163" i="2"/>
  <c r="C174" i="2"/>
  <c r="C195" i="2"/>
  <c r="C177" i="2"/>
  <c r="C164" i="2"/>
  <c r="C142" i="2"/>
  <c r="C189" i="2"/>
  <c r="C176" i="2"/>
  <c r="C188" i="2"/>
  <c r="C181" i="2"/>
  <c r="C196" i="2"/>
  <c r="C156" i="2"/>
  <c r="C161" i="2"/>
  <c r="C193" i="2"/>
  <c r="C140" i="2"/>
  <c r="C165" i="2"/>
  <c r="C152" i="2"/>
  <c r="C173" i="2"/>
  <c r="C159" i="2"/>
  <c r="C170" i="2"/>
  <c r="C191" i="2"/>
  <c r="C171" i="2"/>
  <c r="C182" i="2"/>
  <c r="C146" i="2"/>
  <c r="C178" i="2"/>
  <c r="C155" i="2"/>
  <c r="C158" i="2"/>
  <c r="C179" i="2"/>
  <c r="C190" i="2"/>
  <c r="C154" i="2"/>
  <c r="C186" i="2"/>
  <c r="C166" i="2"/>
  <c r="C167" i="2"/>
  <c r="C143" i="2"/>
  <c r="C175" i="2"/>
  <c r="C144" i="2"/>
  <c r="C187" i="2"/>
  <c r="C147" i="2"/>
  <c r="C148" i="2"/>
  <c r="C150" i="2"/>
  <c r="C145" i="2"/>
  <c r="C149" i="2"/>
  <c r="D137" i="2" l="1"/>
  <c r="D189" i="2"/>
  <c r="D149" i="2"/>
  <c r="D154" i="2"/>
  <c r="D150" i="2"/>
  <c r="D159" i="2"/>
  <c r="D193" i="2"/>
  <c r="D190" i="2"/>
  <c r="D181" i="2"/>
  <c r="D172" i="2"/>
  <c r="D185" i="2"/>
  <c r="D138" i="2"/>
  <c r="D174" i="2"/>
  <c r="D156" i="2"/>
  <c r="D151" i="2"/>
  <c r="D192" i="2"/>
  <c r="D188" i="2"/>
  <c r="D173" i="2"/>
  <c r="D194" i="2"/>
  <c r="D179" i="2"/>
  <c r="D186" i="2"/>
  <c r="D184" i="2"/>
  <c r="D158" i="2"/>
  <c r="D153" i="2"/>
  <c r="D177" i="2"/>
  <c r="D163" i="2"/>
  <c r="D176" i="2"/>
  <c r="D140" i="2"/>
  <c r="D182" i="2"/>
  <c r="D146" i="2"/>
  <c r="D191" i="2"/>
  <c r="D161" i="2"/>
  <c r="D166" i="2"/>
  <c r="D195" i="2"/>
  <c r="D148" i="2"/>
  <c r="D147" i="2"/>
  <c r="D141" i="2"/>
  <c r="D145" i="2"/>
  <c r="D152" i="2"/>
  <c r="D144" i="2"/>
  <c r="D170" i="2"/>
  <c r="D171" i="2"/>
  <c r="D155" i="2"/>
  <c r="D187" i="2"/>
  <c r="D167" i="2"/>
  <c r="D165" i="2"/>
  <c r="D180" i="2"/>
  <c r="D183" i="2"/>
  <c r="D178" i="2"/>
  <c r="D143" i="2"/>
  <c r="D169" i="2"/>
  <c r="D157" i="2"/>
  <c r="D139" i="2"/>
  <c r="D164" i="2"/>
  <c r="D162" i="2"/>
  <c r="D142" i="2"/>
  <c r="D175" i="2"/>
  <c r="D168" i="2"/>
  <c r="D160" i="2"/>
  <c r="D196" i="2"/>
</calcChain>
</file>

<file path=xl/sharedStrings.xml><?xml version="1.0" encoding="utf-8"?>
<sst xmlns="http://schemas.openxmlformats.org/spreadsheetml/2006/main" count="537" uniqueCount="157">
  <si>
    <t>K1</t>
  </si>
  <si>
    <t>Pengalaman Kerja</t>
  </si>
  <si>
    <t>Benefit</t>
  </si>
  <si>
    <t>K2</t>
  </si>
  <si>
    <t>Ketidakhadiran</t>
  </si>
  <si>
    <t>K3</t>
  </si>
  <si>
    <t>Pendidikan Terakhir</t>
  </si>
  <si>
    <t>K4</t>
  </si>
  <si>
    <t>Wawasan</t>
  </si>
  <si>
    <t>K5</t>
  </si>
  <si>
    <t>Psikotest</t>
  </si>
  <si>
    <t>K6</t>
  </si>
  <si>
    <t>Ujian Wawancara</t>
  </si>
  <si>
    <t>Total</t>
  </si>
  <si>
    <t>Bobot</t>
  </si>
  <si>
    <t>Normalisasi Bobot</t>
  </si>
  <si>
    <t>No</t>
  </si>
  <si>
    <t>Ahmad Saiful</t>
  </si>
  <si>
    <t>S1</t>
  </si>
  <si>
    <t>Al-Qadri</t>
  </si>
  <si>
    <t>Alfazal Fuadi</t>
  </si>
  <si>
    <t>SMA</t>
  </si>
  <si>
    <t>Astina</t>
  </si>
  <si>
    <t>D3</t>
  </si>
  <si>
    <t>Charles Panjaitan</t>
  </si>
  <si>
    <t>Delon</t>
  </si>
  <si>
    <t>Delon Simarmata</t>
  </si>
  <si>
    <t>S2</t>
  </si>
  <si>
    <t>Dian Noer Pratama</t>
  </si>
  <si>
    <t>Fadhil Syahputra</t>
  </si>
  <si>
    <t>Fitriana Kesuma Putri</t>
  </si>
  <si>
    <t>Heikel Salim Banaem</t>
  </si>
  <si>
    <t>Ibnu Wibowo</t>
  </si>
  <si>
    <t>Iftikar Fathiyah</t>
  </si>
  <si>
    <t>Isnatul Rahmi</t>
  </si>
  <si>
    <t>Josua Butar Butar</t>
  </si>
  <si>
    <t>Kafrawi</t>
  </si>
  <si>
    <t>Kasdi</t>
  </si>
  <si>
    <t>Khuzul Hidayat</t>
  </si>
  <si>
    <t>Lilis Munira</t>
  </si>
  <si>
    <t>Liza Setia Joni</t>
  </si>
  <si>
    <t>M. Ikhsan Maulana</t>
  </si>
  <si>
    <t>Malintang Pardede</t>
  </si>
  <si>
    <t>Mela Yunita</t>
  </si>
  <si>
    <t>Mella Purnama Putri</t>
  </si>
  <si>
    <t>Mhd Alfaruzi</t>
  </si>
  <si>
    <t>Muhamad Fadli</t>
  </si>
  <si>
    <t>Muhammad Dasril</t>
  </si>
  <si>
    <t>Muhammad Hery</t>
  </si>
  <si>
    <t>Muhammad Kesatria</t>
  </si>
  <si>
    <t>Nanda Masturah Hussein</t>
  </si>
  <si>
    <t>Nazar Habeahan</t>
  </si>
  <si>
    <t>Nazar Saragih</t>
  </si>
  <si>
    <t>Nita Humaida</t>
  </si>
  <si>
    <t>Nur Najmi</t>
  </si>
  <si>
    <t>Nursabarini</t>
  </si>
  <si>
    <t>Purnama Iswahyudi</t>
  </si>
  <si>
    <t>Putri Natasya</t>
  </si>
  <si>
    <t>Raudiah</t>
  </si>
  <si>
    <t>Rifka Fitria</t>
  </si>
  <si>
    <t>Rina Dwita</t>
  </si>
  <si>
    <t>Romi Arifandi</t>
  </si>
  <si>
    <t>Saifuddin</t>
  </si>
  <si>
    <t>Santi B. Manalu</t>
  </si>
  <si>
    <t>Sarah Soraya</t>
  </si>
  <si>
    <t>Sayed Akram Mardhatillah</t>
  </si>
  <si>
    <t>Selvy Yunizar</t>
  </si>
  <si>
    <t>Shofiyatul Khairiyah Nasty</t>
  </si>
  <si>
    <t>Siti Hajar</t>
  </si>
  <si>
    <t>Sri Yuliati</t>
  </si>
  <si>
    <t>Suci Latania Fizikri</t>
  </si>
  <si>
    <t>Suhardin</t>
  </si>
  <si>
    <t>Syafrizal</t>
  </si>
  <si>
    <t>T. M. Abrar Habibie</t>
  </si>
  <si>
    <t>Tiara Juita</t>
  </si>
  <si>
    <t>Ulfa Silvia Ningsih</t>
  </si>
  <si>
    <t>Valentino Sinambela</t>
  </si>
  <si>
    <t>Wahyudi</t>
  </si>
  <si>
    <t>Zainal Abidin</t>
  </si>
  <si>
    <t>Zikratul Rhina</t>
  </si>
  <si>
    <t>Kode Kriteria</t>
  </si>
  <si>
    <t>Nama kriteria</t>
  </si>
  <si>
    <t>Jenis</t>
  </si>
  <si>
    <t>K1 – Pengalaman Kerja</t>
  </si>
  <si>
    <t>Rentang Pengalaman</t>
  </si>
  <si>
    <t>&lt; 2 Tahun</t>
  </si>
  <si>
    <t>2 – 2.6 Tahun</t>
  </si>
  <si>
    <t>2.7 – 2.9 Tahun</t>
  </si>
  <si>
    <t>&gt; 3 Tahun</t>
  </si>
  <si>
    <t>K2 – Ketidakhadiran</t>
  </si>
  <si>
    <t>Jumlah Hari Tidak Hadir</t>
  </si>
  <si>
    <t>&gt; 6 Hari</t>
  </si>
  <si>
    <t>5 – 6 Hari</t>
  </si>
  <si>
    <t>2 – 4 Hari</t>
  </si>
  <si>
    <t>&lt; 2 Hari</t>
  </si>
  <si>
    <t>K3 – Pendidikan Terakhir</t>
  </si>
  <si>
    <t>Tingkat Pendidikan</t>
  </si>
  <si>
    <t>K4 – Wawasan</t>
  </si>
  <si>
    <t>Skor Tes Wawasan</t>
  </si>
  <si>
    <t>&lt; 75</t>
  </si>
  <si>
    <t>76 – 80</t>
  </si>
  <si>
    <t>81 – 88</t>
  </si>
  <si>
    <t>&gt; 88</t>
  </si>
  <si>
    <t>K5 – Psikotest</t>
  </si>
  <si>
    <t>Skor Psikotest</t>
  </si>
  <si>
    <t>K6 – Ujian Wawancara</t>
  </si>
  <si>
    <t>Skor Wawancara</t>
  </si>
  <si>
    <t>Tabel Data Karyawan</t>
  </si>
  <si>
    <t>Tabel Kriteria</t>
  </si>
  <si>
    <t>Tabel Sub Kriteria</t>
  </si>
  <si>
    <t>Nama Alternatif</t>
  </si>
  <si>
    <t>Nama Karyawan</t>
  </si>
  <si>
    <t xml:space="preserve">            Pengalaman Kerja</t>
  </si>
  <si>
    <t xml:space="preserve">            2.8 Tahun</t>
  </si>
  <si>
    <t xml:space="preserve">        7 Hari</t>
  </si>
  <si>
    <t xml:space="preserve">        SMA</t>
  </si>
  <si>
    <t xml:space="preserve">        2.7 Tahun</t>
  </si>
  <si>
    <t xml:space="preserve">        5 Hari</t>
  </si>
  <si>
    <t xml:space="preserve">        S1</t>
  </si>
  <si>
    <t xml:space="preserve">            3.2 Tahun</t>
  </si>
  <si>
    <t xml:space="preserve">        1 Hari</t>
  </si>
  <si>
    <t xml:space="preserve">        D3</t>
  </si>
  <si>
    <t xml:space="preserve">                    2.7 Tahun</t>
  </si>
  <si>
    <t xml:space="preserve">            2 Tahun</t>
  </si>
  <si>
    <t xml:space="preserve">            2.3 Tahun</t>
  </si>
  <si>
    <t xml:space="preserve">        2 Hari</t>
  </si>
  <si>
    <t xml:space="preserve">        S2</t>
  </si>
  <si>
    <t xml:space="preserve">            3.5 Tahun</t>
  </si>
  <si>
    <t xml:space="preserve">    2.9 Tahun</t>
  </si>
  <si>
    <t xml:space="preserve">            2.6 Tahun</t>
  </si>
  <si>
    <t xml:space="preserve">        2.8 Tahun</t>
  </si>
  <si>
    <t xml:space="preserve">        1.5 Tahun</t>
  </si>
  <si>
    <t xml:space="preserve">            2.7 Tahun</t>
  </si>
  <si>
    <t xml:space="preserve">            2.9 Tahun</t>
  </si>
  <si>
    <t xml:space="preserve">    2.8 Tahun</t>
  </si>
  <si>
    <t xml:space="preserve">        1 Tahun</t>
  </si>
  <si>
    <t xml:space="preserve">            1.5 Tahun</t>
  </si>
  <si>
    <t xml:space="preserve">    1.5 Tahun</t>
  </si>
  <si>
    <t xml:space="preserve">                    2.8 Tahun</t>
  </si>
  <si>
    <t xml:space="preserve">                2.2 Tahun</t>
  </si>
  <si>
    <t xml:space="preserve">        3 Hari</t>
  </si>
  <si>
    <t xml:space="preserve">        2.2 Tahun</t>
  </si>
  <si>
    <t xml:space="preserve">                2.8 Tahun</t>
  </si>
  <si>
    <t xml:space="preserve">            2.2 Tahun</t>
  </si>
  <si>
    <t xml:space="preserve">    2.2 Tahun</t>
  </si>
  <si>
    <t>2.2 Tahun</t>
  </si>
  <si>
    <t>Shofiyatul K. Nasty</t>
  </si>
  <si>
    <t>Sayed A. Mardhatillah</t>
  </si>
  <si>
    <t>Nilai Akhir</t>
  </si>
  <si>
    <t>BOBOT</t>
  </si>
  <si>
    <t>MAX</t>
  </si>
  <si>
    <t>MIN</t>
  </si>
  <si>
    <t>Ranking</t>
  </si>
  <si>
    <t>Tabel Normalisasi</t>
  </si>
  <si>
    <t>Kriteria</t>
  </si>
  <si>
    <t>Pemenang Penentuan Leader</t>
  </si>
  <si>
    <t>Tabel Data Bobot Penilaian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</si>
</sst>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2" borderId="2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top"/>
    </xf>
    <xf numFmtId="0" fontId="1" fillId="3" borderId="1" xfId="1" applyFill="1" applyBorder="1"/>
    <xf numFmtId="0" fontId="0" fillId="3" borderId="1" xfId="0" applyFill="1" applyBorder="1" applyAlignment="1">
      <alignment vertical="center" wrapText="1"/>
    </xf>
    <xf numFmtId="9" fontId="0" fillId="3" borderId="1" xfId="0" applyNumberFormat="1" applyFill="1" applyBorder="1" applyAlignment="1">
      <alignment vertical="center" wrapText="1"/>
    </xf>
    <xf numFmtId="20" fontId="0" fillId="3" borderId="1" xfId="0" applyNumberForma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0" fillId="3" borderId="1" xfId="0" applyFill="1" applyBorder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0" fillId="5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8" borderId="1" xfId="0" applyFill="1" applyBorder="1"/>
    <xf numFmtId="0" fontId="0" fillId="9" borderId="1" xfId="0" applyFill="1" applyBorder="1"/>
    <xf numFmtId="0" fontId="2" fillId="9" borderId="1" xfId="0" applyFont="1" applyFill="1" applyBorder="1"/>
    <xf numFmtId="0" fontId="0" fillId="10" borderId="1" xfId="0" applyFill="1" applyBorder="1"/>
  </cellXfs>
  <cellStyles count="2">
    <cellStyle name="Normal" xfId="0" builtinId="0"/>
    <cellStyle name="Normal 2" xfId="1" xr:uid="{17346B28-331A-4822-B27F-141D0A605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9909-5DE7-4E07-86CD-6D3B44E9332F}">
  <dimension ref="A1:R196"/>
  <sheetViews>
    <sheetView tabSelected="1" zoomScale="76" workbookViewId="0">
      <selection activeCell="E177" sqref="E177"/>
    </sheetView>
  </sheetViews>
  <sheetFormatPr defaultRowHeight="14.5" x14ac:dyDescent="0.35"/>
  <cols>
    <col min="2" max="2" width="23.08984375" bestFit="1" customWidth="1"/>
    <col min="3" max="3" width="9.08984375" customWidth="1"/>
    <col min="4" max="4" width="13.7265625" bestFit="1" customWidth="1"/>
    <col min="8" max="8" width="8.7265625" customWidth="1"/>
    <col min="11" max="11" width="11.7265625" bestFit="1" customWidth="1"/>
    <col min="12" max="12" width="22.08984375" bestFit="1" customWidth="1"/>
    <col min="13" max="13" width="21.6328125" bestFit="1" customWidth="1"/>
    <col min="14" max="14" width="16.1796875" bestFit="1" customWidth="1"/>
    <col min="15" max="15" width="17.81640625" bestFit="1" customWidth="1"/>
    <col min="16" max="16" width="9" bestFit="1" customWidth="1"/>
    <col min="17" max="17" width="8.54296875" bestFit="1" customWidth="1"/>
    <col min="18" max="18" width="15.6328125" bestFit="1" customWidth="1"/>
  </cols>
  <sheetData>
    <row r="1" spans="1:18" x14ac:dyDescent="0.35">
      <c r="A1" s="22" t="s">
        <v>16</v>
      </c>
      <c r="B1" s="22" t="s">
        <v>111</v>
      </c>
      <c r="C1" s="22" t="s">
        <v>0</v>
      </c>
      <c r="D1" s="22" t="s">
        <v>3</v>
      </c>
      <c r="E1" s="22" t="s">
        <v>5</v>
      </c>
      <c r="F1" s="22" t="s">
        <v>7</v>
      </c>
      <c r="G1" s="22" t="s">
        <v>9</v>
      </c>
      <c r="H1" s="22" t="s">
        <v>11</v>
      </c>
      <c r="M1" s="19" t="s">
        <v>107</v>
      </c>
    </row>
    <row r="2" spans="1:18" x14ac:dyDescent="0.35">
      <c r="A2" s="2">
        <v>1</v>
      </c>
      <c r="B2" s="2" t="s">
        <v>52</v>
      </c>
      <c r="C2" s="2">
        <v>3</v>
      </c>
      <c r="D2" s="2">
        <v>1</v>
      </c>
      <c r="E2" s="2">
        <v>1</v>
      </c>
      <c r="F2" s="2">
        <v>1</v>
      </c>
      <c r="G2" s="2">
        <v>3</v>
      </c>
      <c r="H2" s="2">
        <v>3</v>
      </c>
      <c r="K2" s="3" t="s">
        <v>16</v>
      </c>
      <c r="L2" s="4" t="s">
        <v>110</v>
      </c>
      <c r="M2" s="4" t="s">
        <v>112</v>
      </c>
      <c r="N2" s="4" t="s">
        <v>4</v>
      </c>
      <c r="O2" s="4" t="s">
        <v>6</v>
      </c>
      <c r="P2" s="4" t="s">
        <v>8</v>
      </c>
      <c r="Q2" s="4" t="s">
        <v>10</v>
      </c>
      <c r="R2" s="4" t="s">
        <v>12</v>
      </c>
    </row>
    <row r="3" spans="1:18" x14ac:dyDescent="0.35">
      <c r="A3" s="2">
        <v>2</v>
      </c>
      <c r="B3" s="2" t="s">
        <v>42</v>
      </c>
      <c r="C3" s="2">
        <v>3</v>
      </c>
      <c r="D3" s="2">
        <v>2</v>
      </c>
      <c r="E3" s="2">
        <v>3</v>
      </c>
      <c r="F3" s="2">
        <v>4</v>
      </c>
      <c r="G3" s="2">
        <v>1</v>
      </c>
      <c r="H3" s="2">
        <v>3</v>
      </c>
      <c r="K3" s="5">
        <v>1</v>
      </c>
      <c r="L3" s="5" t="s">
        <v>52</v>
      </c>
      <c r="M3" s="5" t="s">
        <v>113</v>
      </c>
      <c r="N3" s="5" t="s">
        <v>114</v>
      </c>
      <c r="O3" s="5" t="s">
        <v>115</v>
      </c>
      <c r="P3" s="5">
        <v>72</v>
      </c>
      <c r="Q3" s="5">
        <v>83</v>
      </c>
      <c r="R3" s="5">
        <v>82</v>
      </c>
    </row>
    <row r="4" spans="1:18" x14ac:dyDescent="0.35">
      <c r="A4" s="2">
        <v>3</v>
      </c>
      <c r="B4" s="2" t="s">
        <v>51</v>
      </c>
      <c r="C4" s="2">
        <v>4</v>
      </c>
      <c r="D4" s="2">
        <v>4</v>
      </c>
      <c r="E4" s="2">
        <v>2</v>
      </c>
      <c r="F4" s="2">
        <v>2</v>
      </c>
      <c r="G4" s="2">
        <v>3</v>
      </c>
      <c r="H4" s="2">
        <v>1</v>
      </c>
      <c r="K4" s="5">
        <v>2</v>
      </c>
      <c r="L4" s="5" t="s">
        <v>42</v>
      </c>
      <c r="M4" s="5" t="s">
        <v>116</v>
      </c>
      <c r="N4" s="5" t="s">
        <v>117</v>
      </c>
      <c r="O4" s="5" t="s">
        <v>118</v>
      </c>
      <c r="P4" s="5">
        <v>89</v>
      </c>
      <c r="Q4" s="5">
        <v>74</v>
      </c>
      <c r="R4" s="5">
        <v>83</v>
      </c>
    </row>
    <row r="5" spans="1:18" x14ac:dyDescent="0.35">
      <c r="A5" s="2">
        <v>4</v>
      </c>
      <c r="B5" s="2" t="s">
        <v>25</v>
      </c>
      <c r="C5" s="2">
        <v>3</v>
      </c>
      <c r="D5" s="2">
        <v>4</v>
      </c>
      <c r="E5" s="2">
        <v>1</v>
      </c>
      <c r="F5" s="2">
        <v>2</v>
      </c>
      <c r="G5" s="2">
        <v>1</v>
      </c>
      <c r="H5" s="2">
        <v>1</v>
      </c>
      <c r="K5" s="5">
        <v>3</v>
      </c>
      <c r="L5" s="5" t="s">
        <v>51</v>
      </c>
      <c r="M5" s="5" t="s">
        <v>119</v>
      </c>
      <c r="N5" s="5" t="s">
        <v>120</v>
      </c>
      <c r="O5" s="5" t="s">
        <v>121</v>
      </c>
      <c r="P5" s="5">
        <v>77</v>
      </c>
      <c r="Q5" s="5">
        <v>82</v>
      </c>
      <c r="R5" s="5">
        <v>70</v>
      </c>
    </row>
    <row r="6" spans="1:18" x14ac:dyDescent="0.35">
      <c r="A6" s="2">
        <v>5</v>
      </c>
      <c r="B6" s="2" t="s">
        <v>45</v>
      </c>
      <c r="C6" s="2">
        <v>2</v>
      </c>
      <c r="D6" s="2">
        <v>1</v>
      </c>
      <c r="E6" s="2">
        <v>3</v>
      </c>
      <c r="F6" s="2">
        <v>3</v>
      </c>
      <c r="G6" s="2">
        <v>1</v>
      </c>
      <c r="H6" s="2">
        <v>2</v>
      </c>
      <c r="K6" s="5">
        <v>4</v>
      </c>
      <c r="L6" s="5" t="s">
        <v>25</v>
      </c>
      <c r="M6" s="5" t="s">
        <v>122</v>
      </c>
      <c r="N6" s="5" t="s">
        <v>120</v>
      </c>
      <c r="O6" s="5" t="s">
        <v>115</v>
      </c>
      <c r="P6" s="5">
        <v>78</v>
      </c>
      <c r="Q6" s="5">
        <v>84</v>
      </c>
      <c r="R6" s="5">
        <v>73</v>
      </c>
    </row>
    <row r="7" spans="1:18" x14ac:dyDescent="0.35">
      <c r="A7" s="2">
        <v>6</v>
      </c>
      <c r="B7" s="2" t="s">
        <v>26</v>
      </c>
      <c r="C7" s="2">
        <v>2</v>
      </c>
      <c r="D7" s="2">
        <v>3</v>
      </c>
      <c r="E7" s="2">
        <v>4</v>
      </c>
      <c r="F7" s="2">
        <v>2</v>
      </c>
      <c r="G7" s="2">
        <v>3</v>
      </c>
      <c r="H7" s="2">
        <v>2</v>
      </c>
      <c r="K7" s="5">
        <v>5</v>
      </c>
      <c r="L7" s="5" t="s">
        <v>45</v>
      </c>
      <c r="M7" s="5" t="s">
        <v>123</v>
      </c>
      <c r="N7" s="5" t="s">
        <v>114</v>
      </c>
      <c r="O7" s="5" t="s">
        <v>118</v>
      </c>
      <c r="P7" s="5">
        <v>81</v>
      </c>
      <c r="Q7" s="5">
        <v>73</v>
      </c>
      <c r="R7" s="5">
        <v>78</v>
      </c>
    </row>
    <row r="8" spans="1:18" x14ac:dyDescent="0.35">
      <c r="A8" s="2">
        <v>7</v>
      </c>
      <c r="B8" s="2" t="s">
        <v>35</v>
      </c>
      <c r="C8" s="2">
        <v>3</v>
      </c>
      <c r="D8" s="2">
        <v>3</v>
      </c>
      <c r="E8" s="2">
        <v>2</v>
      </c>
      <c r="F8" s="2">
        <v>2</v>
      </c>
      <c r="G8" s="2">
        <v>1</v>
      </c>
      <c r="H8" s="2">
        <v>4</v>
      </c>
      <c r="K8" s="5">
        <v>6</v>
      </c>
      <c r="L8" s="5" t="s">
        <v>26</v>
      </c>
      <c r="M8" s="5" t="s">
        <v>124</v>
      </c>
      <c r="N8" s="5" t="s">
        <v>125</v>
      </c>
      <c r="O8" s="5" t="s">
        <v>126</v>
      </c>
      <c r="P8" s="5">
        <v>77</v>
      </c>
      <c r="Q8" s="5">
        <v>83</v>
      </c>
      <c r="R8" s="5">
        <v>79</v>
      </c>
    </row>
    <row r="9" spans="1:18" x14ac:dyDescent="0.35">
      <c r="A9" s="2">
        <v>8</v>
      </c>
      <c r="B9" s="2" t="s">
        <v>17</v>
      </c>
      <c r="C9" s="2">
        <v>2</v>
      </c>
      <c r="D9" s="2">
        <v>3</v>
      </c>
      <c r="E9" s="2">
        <v>3</v>
      </c>
      <c r="F9" s="2">
        <v>2</v>
      </c>
      <c r="G9" s="2">
        <v>1</v>
      </c>
      <c r="H9" s="2">
        <v>1</v>
      </c>
      <c r="K9" s="5">
        <v>7</v>
      </c>
      <c r="L9" s="5" t="s">
        <v>35</v>
      </c>
      <c r="M9" s="5" t="s">
        <v>116</v>
      </c>
      <c r="N9" s="5" t="s">
        <v>125</v>
      </c>
      <c r="O9" s="5" t="s">
        <v>121</v>
      </c>
      <c r="P9" s="5">
        <v>78</v>
      </c>
      <c r="Q9" s="5">
        <v>70</v>
      </c>
      <c r="R9" s="5">
        <v>89</v>
      </c>
    </row>
    <row r="10" spans="1:18" x14ac:dyDescent="0.35">
      <c r="A10" s="2">
        <v>9</v>
      </c>
      <c r="B10" s="2" t="s">
        <v>46</v>
      </c>
      <c r="C10" s="2">
        <v>4</v>
      </c>
      <c r="D10" s="2">
        <v>1</v>
      </c>
      <c r="E10" s="2">
        <v>1</v>
      </c>
      <c r="F10" s="2">
        <v>2</v>
      </c>
      <c r="G10" s="2">
        <v>1</v>
      </c>
      <c r="H10" s="2">
        <v>4</v>
      </c>
      <c r="K10" s="5">
        <v>8</v>
      </c>
      <c r="L10" s="5" t="s">
        <v>17</v>
      </c>
      <c r="M10" s="5" t="s">
        <v>123</v>
      </c>
      <c r="N10" s="5" t="s">
        <v>125</v>
      </c>
      <c r="O10" s="5" t="s">
        <v>118</v>
      </c>
      <c r="P10" s="5">
        <v>80</v>
      </c>
      <c r="Q10" s="5">
        <v>73</v>
      </c>
      <c r="R10" s="5">
        <v>72</v>
      </c>
    </row>
    <row r="11" spans="1:18" x14ac:dyDescent="0.35">
      <c r="A11" s="2">
        <v>10</v>
      </c>
      <c r="B11" s="2" t="s">
        <v>76</v>
      </c>
      <c r="C11" s="2">
        <v>3</v>
      </c>
      <c r="D11" s="2">
        <v>1</v>
      </c>
      <c r="E11" s="2">
        <v>4</v>
      </c>
      <c r="F11" s="2">
        <v>2</v>
      </c>
      <c r="G11" s="2">
        <v>2</v>
      </c>
      <c r="H11" s="2">
        <v>3</v>
      </c>
      <c r="K11" s="5">
        <v>9</v>
      </c>
      <c r="L11" s="5" t="s">
        <v>46</v>
      </c>
      <c r="M11" s="5" t="s">
        <v>127</v>
      </c>
      <c r="N11" s="5" t="s">
        <v>114</v>
      </c>
      <c r="O11" s="5" t="s">
        <v>115</v>
      </c>
      <c r="P11" s="5">
        <v>76</v>
      </c>
      <c r="Q11" s="5">
        <v>74</v>
      </c>
      <c r="R11" s="5">
        <v>87</v>
      </c>
    </row>
    <row r="12" spans="1:18" x14ac:dyDescent="0.35">
      <c r="A12" s="2">
        <v>11</v>
      </c>
      <c r="B12" s="2" t="s">
        <v>32</v>
      </c>
      <c r="C12" s="2">
        <v>2</v>
      </c>
      <c r="D12" s="2">
        <v>2</v>
      </c>
      <c r="E12" s="2">
        <v>2</v>
      </c>
      <c r="F12" s="2">
        <v>3</v>
      </c>
      <c r="G12" s="2">
        <v>2</v>
      </c>
      <c r="H12" s="2">
        <v>1</v>
      </c>
      <c r="K12" s="5">
        <v>10</v>
      </c>
      <c r="L12" s="5" t="s">
        <v>76</v>
      </c>
      <c r="M12" s="5" t="s">
        <v>128</v>
      </c>
      <c r="N12" s="5" t="s">
        <v>114</v>
      </c>
      <c r="O12" s="5" t="s">
        <v>126</v>
      </c>
      <c r="P12" s="5">
        <v>77</v>
      </c>
      <c r="Q12" s="5">
        <v>77</v>
      </c>
      <c r="R12" s="5">
        <v>87</v>
      </c>
    </row>
    <row r="13" spans="1:18" x14ac:dyDescent="0.35">
      <c r="A13" s="2">
        <v>12</v>
      </c>
      <c r="B13" s="2" t="s">
        <v>24</v>
      </c>
      <c r="C13" s="2">
        <v>3</v>
      </c>
      <c r="D13" s="2">
        <v>3</v>
      </c>
      <c r="E13" s="2">
        <v>1</v>
      </c>
      <c r="F13" s="2">
        <v>4</v>
      </c>
      <c r="G13" s="2">
        <v>3</v>
      </c>
      <c r="H13" s="2">
        <v>2</v>
      </c>
      <c r="K13" s="5">
        <v>11</v>
      </c>
      <c r="L13" s="5" t="s">
        <v>32</v>
      </c>
      <c r="M13" s="5" t="s">
        <v>129</v>
      </c>
      <c r="N13" s="5" t="s">
        <v>117</v>
      </c>
      <c r="O13" s="5" t="s">
        <v>121</v>
      </c>
      <c r="P13" s="5">
        <v>82</v>
      </c>
      <c r="Q13" s="5">
        <v>78</v>
      </c>
      <c r="R13" s="5">
        <v>73</v>
      </c>
    </row>
    <row r="14" spans="1:18" x14ac:dyDescent="0.35">
      <c r="A14" s="2">
        <v>13</v>
      </c>
      <c r="B14" s="2" t="s">
        <v>49</v>
      </c>
      <c r="C14" s="2">
        <v>1</v>
      </c>
      <c r="D14" s="2">
        <v>1</v>
      </c>
      <c r="E14" s="2">
        <v>3</v>
      </c>
      <c r="F14" s="2">
        <v>3</v>
      </c>
      <c r="G14" s="2">
        <v>3</v>
      </c>
      <c r="H14" s="2">
        <v>3</v>
      </c>
      <c r="K14" s="5">
        <v>12</v>
      </c>
      <c r="L14" s="5" t="s">
        <v>24</v>
      </c>
      <c r="M14" s="5" t="s">
        <v>130</v>
      </c>
      <c r="N14" s="5" t="s">
        <v>125</v>
      </c>
      <c r="O14" s="5" t="s">
        <v>115</v>
      </c>
      <c r="P14" s="5">
        <v>89</v>
      </c>
      <c r="Q14" s="5">
        <v>83</v>
      </c>
      <c r="R14" s="5">
        <v>80</v>
      </c>
    </row>
    <row r="15" spans="1:18" x14ac:dyDescent="0.35">
      <c r="A15" s="2">
        <v>14</v>
      </c>
      <c r="B15" s="2" t="s">
        <v>48</v>
      </c>
      <c r="C15" s="2">
        <v>2</v>
      </c>
      <c r="D15" s="2">
        <v>2</v>
      </c>
      <c r="E15" s="2">
        <v>2</v>
      </c>
      <c r="F15" s="2">
        <v>4</v>
      </c>
      <c r="G15" s="2">
        <v>1</v>
      </c>
      <c r="H15" s="2">
        <v>1</v>
      </c>
      <c r="K15" s="5">
        <v>13</v>
      </c>
      <c r="L15" s="5" t="s">
        <v>49</v>
      </c>
      <c r="M15" s="5" t="s">
        <v>131</v>
      </c>
      <c r="N15" s="5" t="s">
        <v>114</v>
      </c>
      <c r="O15" s="5" t="s">
        <v>118</v>
      </c>
      <c r="P15" s="5">
        <v>81</v>
      </c>
      <c r="Q15" s="5">
        <v>84</v>
      </c>
      <c r="R15" s="5">
        <v>88</v>
      </c>
    </row>
    <row r="16" spans="1:18" x14ac:dyDescent="0.35">
      <c r="A16" s="2">
        <v>15</v>
      </c>
      <c r="B16" s="2" t="s">
        <v>66</v>
      </c>
      <c r="C16" s="2">
        <v>3</v>
      </c>
      <c r="D16" s="2">
        <v>3</v>
      </c>
      <c r="E16" s="2">
        <v>1</v>
      </c>
      <c r="F16" s="2">
        <v>2</v>
      </c>
      <c r="G16" s="2">
        <v>1</v>
      </c>
      <c r="H16" s="2">
        <v>1</v>
      </c>
      <c r="K16" s="5">
        <v>14</v>
      </c>
      <c r="L16" s="5" t="s">
        <v>48</v>
      </c>
      <c r="M16" s="5" t="s">
        <v>123</v>
      </c>
      <c r="N16" s="5" t="s">
        <v>117</v>
      </c>
      <c r="O16" s="5" t="s">
        <v>121</v>
      </c>
      <c r="P16" s="5">
        <v>90</v>
      </c>
      <c r="Q16" s="5">
        <v>74</v>
      </c>
      <c r="R16" s="5">
        <v>70</v>
      </c>
    </row>
    <row r="17" spans="1:18" x14ac:dyDescent="0.35">
      <c r="A17" s="2">
        <v>16</v>
      </c>
      <c r="B17" s="2" t="s">
        <v>69</v>
      </c>
      <c r="C17" s="2">
        <v>3</v>
      </c>
      <c r="D17" s="2">
        <v>2</v>
      </c>
      <c r="E17" s="2">
        <v>1</v>
      </c>
      <c r="F17" s="2">
        <v>2</v>
      </c>
      <c r="G17" s="2">
        <v>2</v>
      </c>
      <c r="H17" s="2">
        <v>3</v>
      </c>
      <c r="K17" s="5">
        <v>15</v>
      </c>
      <c r="L17" s="5" t="s">
        <v>66</v>
      </c>
      <c r="M17" s="5" t="s">
        <v>132</v>
      </c>
      <c r="N17" s="5" t="s">
        <v>125</v>
      </c>
      <c r="O17" s="5" t="s">
        <v>115</v>
      </c>
      <c r="P17" s="5">
        <v>77</v>
      </c>
      <c r="Q17" s="5">
        <v>74</v>
      </c>
      <c r="R17" s="5">
        <v>73</v>
      </c>
    </row>
    <row r="18" spans="1:18" x14ac:dyDescent="0.35">
      <c r="A18" s="2">
        <v>17</v>
      </c>
      <c r="B18" s="2" t="s">
        <v>68</v>
      </c>
      <c r="C18" s="2">
        <v>3</v>
      </c>
      <c r="D18" s="2">
        <v>2</v>
      </c>
      <c r="E18" s="2">
        <v>3</v>
      </c>
      <c r="F18" s="2">
        <v>2</v>
      </c>
      <c r="G18" s="2">
        <v>2</v>
      </c>
      <c r="H18" s="2">
        <v>1</v>
      </c>
      <c r="K18" s="5">
        <v>16</v>
      </c>
      <c r="L18" s="5" t="s">
        <v>69</v>
      </c>
      <c r="M18" s="5" t="s">
        <v>132</v>
      </c>
      <c r="N18" s="5" t="s">
        <v>117</v>
      </c>
      <c r="O18" s="5" t="s">
        <v>115</v>
      </c>
      <c r="P18" s="5">
        <v>77</v>
      </c>
      <c r="Q18" s="5">
        <v>78</v>
      </c>
      <c r="R18" s="5">
        <v>88</v>
      </c>
    </row>
    <row r="19" spans="1:18" x14ac:dyDescent="0.35">
      <c r="A19" s="2">
        <v>18</v>
      </c>
      <c r="B19" s="2" t="s">
        <v>70</v>
      </c>
      <c r="C19" s="2">
        <v>3</v>
      </c>
      <c r="D19" s="2">
        <v>1</v>
      </c>
      <c r="E19" s="2">
        <v>1</v>
      </c>
      <c r="F19" s="2">
        <v>1</v>
      </c>
      <c r="G19" s="2">
        <v>4</v>
      </c>
      <c r="H19" s="2">
        <v>1</v>
      </c>
      <c r="K19" s="5">
        <v>17</v>
      </c>
      <c r="L19" s="5" t="s">
        <v>68</v>
      </c>
      <c r="M19" s="5" t="s">
        <v>133</v>
      </c>
      <c r="N19" s="5" t="s">
        <v>117</v>
      </c>
      <c r="O19" s="5" t="s">
        <v>118</v>
      </c>
      <c r="P19" s="5">
        <v>82</v>
      </c>
      <c r="Q19" s="5">
        <v>78</v>
      </c>
      <c r="R19" s="5">
        <v>72</v>
      </c>
    </row>
    <row r="20" spans="1:18" x14ac:dyDescent="0.35">
      <c r="A20" s="2">
        <v>19</v>
      </c>
      <c r="B20" s="2" t="s">
        <v>40</v>
      </c>
      <c r="C20" s="2">
        <v>1</v>
      </c>
      <c r="D20" s="2">
        <v>3</v>
      </c>
      <c r="E20" s="2">
        <v>2</v>
      </c>
      <c r="F20" s="2">
        <v>4</v>
      </c>
      <c r="G20" s="2">
        <v>1</v>
      </c>
      <c r="H20" s="2">
        <v>1</v>
      </c>
      <c r="K20" s="5">
        <v>18</v>
      </c>
      <c r="L20" s="5" t="s">
        <v>70</v>
      </c>
      <c r="M20" s="5" t="s">
        <v>134</v>
      </c>
      <c r="N20" s="5" t="s">
        <v>114</v>
      </c>
      <c r="O20" s="5" t="s">
        <v>115</v>
      </c>
      <c r="P20" s="5">
        <v>70</v>
      </c>
      <c r="Q20" s="5">
        <v>89</v>
      </c>
      <c r="R20" s="5">
        <v>72</v>
      </c>
    </row>
    <row r="21" spans="1:18" x14ac:dyDescent="0.35">
      <c r="A21" s="2">
        <v>20</v>
      </c>
      <c r="B21" s="2" t="s">
        <v>78</v>
      </c>
      <c r="C21" s="2">
        <v>2</v>
      </c>
      <c r="D21" s="2">
        <v>3</v>
      </c>
      <c r="E21" s="2">
        <v>2</v>
      </c>
      <c r="F21" s="2">
        <v>2</v>
      </c>
      <c r="G21" s="2">
        <v>4</v>
      </c>
      <c r="H21" s="2">
        <v>2</v>
      </c>
      <c r="K21" s="5">
        <v>19</v>
      </c>
      <c r="L21" s="5" t="s">
        <v>40</v>
      </c>
      <c r="M21" s="5" t="s">
        <v>135</v>
      </c>
      <c r="N21" s="5" t="s">
        <v>125</v>
      </c>
      <c r="O21" s="5" t="s">
        <v>121</v>
      </c>
      <c r="P21" s="5">
        <v>89</v>
      </c>
      <c r="Q21" s="5">
        <v>74</v>
      </c>
      <c r="R21" s="5">
        <v>72</v>
      </c>
    </row>
    <row r="22" spans="1:18" x14ac:dyDescent="0.35">
      <c r="A22" s="2">
        <v>21</v>
      </c>
      <c r="B22" s="2" t="s">
        <v>60</v>
      </c>
      <c r="C22" s="2">
        <v>4</v>
      </c>
      <c r="D22" s="2">
        <v>3</v>
      </c>
      <c r="E22" s="2">
        <v>1</v>
      </c>
      <c r="F22" s="2">
        <v>2</v>
      </c>
      <c r="G22" s="2">
        <v>3</v>
      </c>
      <c r="H22" s="2">
        <v>3</v>
      </c>
      <c r="K22" s="5">
        <v>20</v>
      </c>
      <c r="L22" s="5" t="s">
        <v>78</v>
      </c>
      <c r="M22" s="5" t="s">
        <v>123</v>
      </c>
      <c r="N22" s="5" t="s">
        <v>125</v>
      </c>
      <c r="O22" s="5" t="s">
        <v>121</v>
      </c>
      <c r="P22" s="5">
        <v>78</v>
      </c>
      <c r="Q22" s="5">
        <v>89</v>
      </c>
      <c r="R22" s="5">
        <v>79</v>
      </c>
    </row>
    <row r="23" spans="1:18" x14ac:dyDescent="0.35">
      <c r="A23" s="2">
        <v>22</v>
      </c>
      <c r="B23" s="2" t="s">
        <v>74</v>
      </c>
      <c r="C23" s="2">
        <v>3</v>
      </c>
      <c r="D23" s="2">
        <v>2</v>
      </c>
      <c r="E23" s="2">
        <v>4</v>
      </c>
      <c r="F23" s="2">
        <v>1</v>
      </c>
      <c r="G23" s="2">
        <v>1</v>
      </c>
      <c r="H23" s="2">
        <v>3</v>
      </c>
      <c r="K23" s="5">
        <v>21</v>
      </c>
      <c r="L23" s="5" t="s">
        <v>60</v>
      </c>
      <c r="M23" s="5" t="s">
        <v>127</v>
      </c>
      <c r="N23" s="5" t="s">
        <v>125</v>
      </c>
      <c r="O23" s="5" t="s">
        <v>115</v>
      </c>
      <c r="P23" s="5">
        <v>79</v>
      </c>
      <c r="Q23" s="5">
        <v>82</v>
      </c>
      <c r="R23" s="5">
        <v>88</v>
      </c>
    </row>
    <row r="24" spans="1:18" x14ac:dyDescent="0.35">
      <c r="A24" s="2">
        <v>23</v>
      </c>
      <c r="B24" s="2" t="s">
        <v>53</v>
      </c>
      <c r="C24" s="2">
        <v>2</v>
      </c>
      <c r="D24" s="2">
        <v>3</v>
      </c>
      <c r="E24" s="2">
        <v>1</v>
      </c>
      <c r="F24" s="2">
        <v>4</v>
      </c>
      <c r="G24" s="2">
        <v>2</v>
      </c>
      <c r="H24" s="2">
        <v>3</v>
      </c>
      <c r="K24" s="5">
        <v>22</v>
      </c>
      <c r="L24" s="5" t="s">
        <v>74</v>
      </c>
      <c r="M24" s="5" t="s">
        <v>133</v>
      </c>
      <c r="N24" s="5" t="s">
        <v>117</v>
      </c>
      <c r="O24" s="5" t="s">
        <v>126</v>
      </c>
      <c r="P24" s="5">
        <v>74</v>
      </c>
      <c r="Q24" s="5">
        <v>74</v>
      </c>
      <c r="R24" s="5">
        <v>82</v>
      </c>
    </row>
    <row r="25" spans="1:18" x14ac:dyDescent="0.35">
      <c r="A25" s="2">
        <v>24</v>
      </c>
      <c r="B25" s="2" t="s">
        <v>34</v>
      </c>
      <c r="C25" s="2">
        <v>2</v>
      </c>
      <c r="D25" s="2">
        <v>2</v>
      </c>
      <c r="E25" s="2">
        <v>2</v>
      </c>
      <c r="F25" s="2">
        <v>2</v>
      </c>
      <c r="G25" s="2">
        <v>2</v>
      </c>
      <c r="H25" s="2">
        <v>3</v>
      </c>
      <c r="K25" s="5">
        <v>23</v>
      </c>
      <c r="L25" s="5" t="s">
        <v>53</v>
      </c>
      <c r="M25" s="5" t="s">
        <v>129</v>
      </c>
      <c r="N25" s="5" t="s">
        <v>125</v>
      </c>
      <c r="O25" s="5" t="s">
        <v>115</v>
      </c>
      <c r="P25" s="5">
        <v>89</v>
      </c>
      <c r="Q25" s="5">
        <v>77</v>
      </c>
      <c r="R25" s="5">
        <v>82</v>
      </c>
    </row>
    <row r="26" spans="1:18" x14ac:dyDescent="0.35">
      <c r="A26" s="2">
        <v>25</v>
      </c>
      <c r="B26" s="2" t="s">
        <v>63</v>
      </c>
      <c r="C26" s="2">
        <v>1</v>
      </c>
      <c r="D26" s="2">
        <v>3</v>
      </c>
      <c r="E26" s="2">
        <v>2</v>
      </c>
      <c r="F26" s="2">
        <v>4</v>
      </c>
      <c r="G26" s="2">
        <v>1</v>
      </c>
      <c r="H26" s="2">
        <v>3</v>
      </c>
      <c r="K26" s="5">
        <v>24</v>
      </c>
      <c r="L26" s="5" t="s">
        <v>34</v>
      </c>
      <c r="M26" s="5" t="s">
        <v>129</v>
      </c>
      <c r="N26" s="5" t="s">
        <v>117</v>
      </c>
      <c r="O26" s="5" t="s">
        <v>121</v>
      </c>
      <c r="P26" s="5">
        <v>80</v>
      </c>
      <c r="Q26" s="5">
        <v>78</v>
      </c>
      <c r="R26" s="5">
        <v>84</v>
      </c>
    </row>
    <row r="27" spans="1:18" x14ac:dyDescent="0.35">
      <c r="A27" s="2">
        <v>26</v>
      </c>
      <c r="B27" s="2" t="s">
        <v>33</v>
      </c>
      <c r="C27" s="2">
        <v>3</v>
      </c>
      <c r="D27" s="2">
        <v>3</v>
      </c>
      <c r="E27" s="2">
        <v>2</v>
      </c>
      <c r="F27" s="2">
        <v>3</v>
      </c>
      <c r="G27" s="2">
        <v>1</v>
      </c>
      <c r="H27" s="2">
        <v>3</v>
      </c>
      <c r="K27" s="5">
        <v>25</v>
      </c>
      <c r="L27" s="5" t="s">
        <v>63</v>
      </c>
      <c r="M27" s="5" t="s">
        <v>135</v>
      </c>
      <c r="N27" s="5" t="s">
        <v>125</v>
      </c>
      <c r="O27" s="5" t="s">
        <v>121</v>
      </c>
      <c r="P27" s="5">
        <v>89</v>
      </c>
      <c r="Q27" s="5">
        <v>74</v>
      </c>
      <c r="R27" s="5">
        <v>85</v>
      </c>
    </row>
    <row r="28" spans="1:18" x14ac:dyDescent="0.35">
      <c r="A28" s="2">
        <v>27</v>
      </c>
      <c r="B28" s="2" t="s">
        <v>55</v>
      </c>
      <c r="C28" s="2">
        <v>2</v>
      </c>
      <c r="D28" s="2">
        <v>3</v>
      </c>
      <c r="E28" s="2">
        <v>2</v>
      </c>
      <c r="F28" s="2">
        <v>4</v>
      </c>
      <c r="G28" s="2">
        <v>1</v>
      </c>
      <c r="H28" s="2">
        <v>1</v>
      </c>
      <c r="K28" s="5">
        <v>26</v>
      </c>
      <c r="L28" s="5" t="s">
        <v>33</v>
      </c>
      <c r="M28" s="5" t="s">
        <v>116</v>
      </c>
      <c r="N28" s="5" t="s">
        <v>125</v>
      </c>
      <c r="O28" s="5" t="s">
        <v>121</v>
      </c>
      <c r="P28" s="5">
        <v>82</v>
      </c>
      <c r="Q28" s="5">
        <v>73</v>
      </c>
      <c r="R28" s="5">
        <v>82</v>
      </c>
    </row>
    <row r="29" spans="1:18" x14ac:dyDescent="0.35">
      <c r="A29" s="2">
        <v>28</v>
      </c>
      <c r="B29" s="2" t="s">
        <v>61</v>
      </c>
      <c r="C29" s="2">
        <v>1</v>
      </c>
      <c r="D29" s="2">
        <v>2</v>
      </c>
      <c r="E29" s="2">
        <v>2</v>
      </c>
      <c r="F29" s="2">
        <v>4</v>
      </c>
      <c r="G29" s="2">
        <v>1</v>
      </c>
      <c r="H29" s="2">
        <v>1</v>
      </c>
      <c r="K29" s="5">
        <v>27</v>
      </c>
      <c r="L29" s="5" t="s">
        <v>55</v>
      </c>
      <c r="M29" s="5" t="s">
        <v>123</v>
      </c>
      <c r="N29" s="5" t="s">
        <v>125</v>
      </c>
      <c r="O29" s="5" t="s">
        <v>121</v>
      </c>
      <c r="P29" s="5">
        <v>89</v>
      </c>
      <c r="Q29" s="5">
        <v>70</v>
      </c>
      <c r="R29" s="5">
        <v>70</v>
      </c>
    </row>
    <row r="30" spans="1:18" x14ac:dyDescent="0.35">
      <c r="A30" s="2">
        <v>29</v>
      </c>
      <c r="B30" s="2" t="s">
        <v>29</v>
      </c>
      <c r="C30" s="2">
        <v>3</v>
      </c>
      <c r="D30" s="2">
        <v>3</v>
      </c>
      <c r="E30" s="2">
        <v>3</v>
      </c>
      <c r="F30" s="2">
        <v>2</v>
      </c>
      <c r="G30" s="2">
        <v>1</v>
      </c>
      <c r="H30" s="2">
        <v>2</v>
      </c>
      <c r="K30" s="5">
        <v>28</v>
      </c>
      <c r="L30" s="5" t="s">
        <v>61</v>
      </c>
      <c r="M30" s="5" t="s">
        <v>136</v>
      </c>
      <c r="N30" s="5" t="s">
        <v>117</v>
      </c>
      <c r="O30" s="5" t="s">
        <v>121</v>
      </c>
      <c r="P30" s="5">
        <v>90</v>
      </c>
      <c r="Q30" s="5">
        <v>70</v>
      </c>
      <c r="R30" s="5">
        <v>73</v>
      </c>
    </row>
    <row r="31" spans="1:18" x14ac:dyDescent="0.35">
      <c r="A31" s="2">
        <v>30</v>
      </c>
      <c r="B31" s="2" t="s">
        <v>31</v>
      </c>
      <c r="C31" s="2">
        <v>1</v>
      </c>
      <c r="D31" s="2">
        <v>3</v>
      </c>
      <c r="E31" s="2">
        <v>2</v>
      </c>
      <c r="F31" s="2">
        <v>2</v>
      </c>
      <c r="G31" s="2">
        <v>1</v>
      </c>
      <c r="H31" s="2">
        <v>2</v>
      </c>
      <c r="K31" s="5">
        <v>29</v>
      </c>
      <c r="L31" s="5" t="s">
        <v>29</v>
      </c>
      <c r="M31" s="5" t="s">
        <v>116</v>
      </c>
      <c r="N31" s="5" t="s">
        <v>125</v>
      </c>
      <c r="O31" s="5" t="s">
        <v>118</v>
      </c>
      <c r="P31" s="5">
        <v>76</v>
      </c>
      <c r="Q31" s="5">
        <v>72</v>
      </c>
      <c r="R31" s="5">
        <v>80</v>
      </c>
    </row>
    <row r="32" spans="1:18" x14ac:dyDescent="0.35">
      <c r="A32" s="2">
        <v>31</v>
      </c>
      <c r="B32" s="2" t="s">
        <v>22</v>
      </c>
      <c r="C32" s="2">
        <v>3</v>
      </c>
      <c r="D32" s="2">
        <v>4</v>
      </c>
      <c r="E32" s="2">
        <v>2</v>
      </c>
      <c r="F32" s="2">
        <v>1</v>
      </c>
      <c r="G32" s="2">
        <v>1</v>
      </c>
      <c r="H32" s="2">
        <v>1</v>
      </c>
      <c r="K32" s="5">
        <v>30</v>
      </c>
      <c r="L32" s="5" t="s">
        <v>31</v>
      </c>
      <c r="M32" s="5" t="s">
        <v>137</v>
      </c>
      <c r="N32" s="5" t="s">
        <v>125</v>
      </c>
      <c r="O32" s="5" t="s">
        <v>121</v>
      </c>
      <c r="P32" s="5">
        <v>78</v>
      </c>
      <c r="Q32" s="5">
        <v>73</v>
      </c>
      <c r="R32" s="5">
        <v>80</v>
      </c>
    </row>
    <row r="33" spans="1:18" x14ac:dyDescent="0.35">
      <c r="A33" s="2">
        <v>32</v>
      </c>
      <c r="B33" s="2" t="s">
        <v>62</v>
      </c>
      <c r="C33" s="2">
        <v>2</v>
      </c>
      <c r="D33" s="2">
        <v>1</v>
      </c>
      <c r="E33" s="2">
        <v>3</v>
      </c>
      <c r="F33" s="2">
        <v>1</v>
      </c>
      <c r="G33" s="2">
        <v>1</v>
      </c>
      <c r="H33" s="2">
        <v>1</v>
      </c>
      <c r="K33" s="5">
        <v>31</v>
      </c>
      <c r="L33" s="5" t="s">
        <v>22</v>
      </c>
      <c r="M33" s="5" t="s">
        <v>138</v>
      </c>
      <c r="N33" s="5" t="s">
        <v>120</v>
      </c>
      <c r="O33" s="5" t="s">
        <v>121</v>
      </c>
      <c r="P33" s="5">
        <v>74</v>
      </c>
      <c r="Q33" s="5">
        <v>74</v>
      </c>
      <c r="R33" s="5">
        <v>74</v>
      </c>
    </row>
    <row r="34" spans="1:18" x14ac:dyDescent="0.35">
      <c r="A34" s="2">
        <v>33</v>
      </c>
      <c r="B34" s="2" t="s">
        <v>77</v>
      </c>
      <c r="C34" s="2">
        <v>2</v>
      </c>
      <c r="D34" s="2">
        <v>3</v>
      </c>
      <c r="E34" s="2">
        <v>1</v>
      </c>
      <c r="F34" s="2">
        <v>3</v>
      </c>
      <c r="G34" s="2">
        <v>1</v>
      </c>
      <c r="H34" s="2">
        <v>1</v>
      </c>
      <c r="K34" s="5">
        <v>32</v>
      </c>
      <c r="L34" s="5" t="s">
        <v>62</v>
      </c>
      <c r="M34" s="5" t="s">
        <v>139</v>
      </c>
      <c r="N34" s="5" t="s">
        <v>114</v>
      </c>
      <c r="O34" s="5" t="s">
        <v>118</v>
      </c>
      <c r="P34" s="5">
        <v>74</v>
      </c>
      <c r="Q34" s="5">
        <v>74</v>
      </c>
      <c r="R34" s="5">
        <v>74</v>
      </c>
    </row>
    <row r="35" spans="1:18" x14ac:dyDescent="0.35">
      <c r="A35" s="2">
        <v>34</v>
      </c>
      <c r="B35" s="2" t="s">
        <v>29</v>
      </c>
      <c r="C35" s="2">
        <v>2</v>
      </c>
      <c r="D35" s="2">
        <v>3</v>
      </c>
      <c r="E35" s="2">
        <v>3</v>
      </c>
      <c r="F35" s="2">
        <v>4</v>
      </c>
      <c r="G35" s="2">
        <v>3</v>
      </c>
      <c r="H35" s="2">
        <v>1</v>
      </c>
      <c r="K35" s="5">
        <v>33</v>
      </c>
      <c r="L35" s="5" t="s">
        <v>77</v>
      </c>
      <c r="M35" s="5" t="s">
        <v>139</v>
      </c>
      <c r="N35" s="5" t="s">
        <v>140</v>
      </c>
      <c r="O35" s="5" t="s">
        <v>115</v>
      </c>
      <c r="P35" s="5">
        <v>87</v>
      </c>
      <c r="Q35" s="5">
        <v>74</v>
      </c>
      <c r="R35" s="5">
        <v>74</v>
      </c>
    </row>
    <row r="36" spans="1:18" x14ac:dyDescent="0.35">
      <c r="A36" s="2">
        <v>35</v>
      </c>
      <c r="B36" s="2" t="s">
        <v>58</v>
      </c>
      <c r="C36" s="2">
        <v>3</v>
      </c>
      <c r="D36" s="2">
        <v>2</v>
      </c>
      <c r="E36" s="2">
        <v>2</v>
      </c>
      <c r="F36" s="2">
        <v>4</v>
      </c>
      <c r="G36" s="2">
        <v>2</v>
      </c>
      <c r="H36" s="2">
        <v>2</v>
      </c>
      <c r="K36" s="5">
        <v>34</v>
      </c>
      <c r="L36" s="5" t="s">
        <v>29</v>
      </c>
      <c r="M36" s="5" t="s">
        <v>141</v>
      </c>
      <c r="N36" s="5" t="s">
        <v>140</v>
      </c>
      <c r="O36" s="5" t="s">
        <v>118</v>
      </c>
      <c r="P36" s="5">
        <v>89</v>
      </c>
      <c r="Q36" s="5">
        <v>87</v>
      </c>
      <c r="R36" s="5">
        <v>74</v>
      </c>
    </row>
    <row r="37" spans="1:18" x14ac:dyDescent="0.35">
      <c r="A37" s="2">
        <v>36</v>
      </c>
      <c r="B37" s="2" t="s">
        <v>71</v>
      </c>
      <c r="C37" s="2">
        <v>2</v>
      </c>
      <c r="D37" s="2">
        <v>2</v>
      </c>
      <c r="E37" s="2">
        <v>3</v>
      </c>
      <c r="F37" s="2">
        <v>3</v>
      </c>
      <c r="G37" s="2">
        <v>2</v>
      </c>
      <c r="H37" s="2">
        <v>1</v>
      </c>
      <c r="K37" s="5">
        <v>35</v>
      </c>
      <c r="L37" s="5" t="s">
        <v>58</v>
      </c>
      <c r="M37" s="5" t="s">
        <v>142</v>
      </c>
      <c r="N37" s="5" t="s">
        <v>117</v>
      </c>
      <c r="O37" s="5" t="s">
        <v>121</v>
      </c>
      <c r="P37" s="5">
        <v>89</v>
      </c>
      <c r="Q37" s="5">
        <v>78</v>
      </c>
      <c r="R37" s="5">
        <v>78</v>
      </c>
    </row>
    <row r="38" spans="1:18" x14ac:dyDescent="0.35">
      <c r="A38" s="2">
        <v>37</v>
      </c>
      <c r="B38" s="2" t="s">
        <v>39</v>
      </c>
      <c r="C38" s="2">
        <v>3</v>
      </c>
      <c r="D38" s="2">
        <v>2</v>
      </c>
      <c r="E38" s="2">
        <v>4</v>
      </c>
      <c r="F38" s="2">
        <v>3</v>
      </c>
      <c r="G38" s="2">
        <v>1</v>
      </c>
      <c r="H38" s="2">
        <v>1</v>
      </c>
      <c r="K38" s="5">
        <v>36</v>
      </c>
      <c r="L38" s="5" t="s">
        <v>71</v>
      </c>
      <c r="M38" s="5" t="s">
        <v>139</v>
      </c>
      <c r="N38" s="5" t="s">
        <v>117</v>
      </c>
      <c r="O38" s="5" t="s">
        <v>118</v>
      </c>
      <c r="P38" s="5">
        <v>87</v>
      </c>
      <c r="Q38" s="5">
        <v>78</v>
      </c>
      <c r="R38" s="5">
        <v>74</v>
      </c>
    </row>
    <row r="39" spans="1:18" x14ac:dyDescent="0.35">
      <c r="A39" s="2">
        <v>38</v>
      </c>
      <c r="B39" s="2" t="s">
        <v>59</v>
      </c>
      <c r="C39" s="2">
        <v>2</v>
      </c>
      <c r="D39" s="2">
        <v>4</v>
      </c>
      <c r="E39" s="2">
        <v>2</v>
      </c>
      <c r="F39" s="2">
        <v>2</v>
      </c>
      <c r="G39" s="2">
        <v>2</v>
      </c>
      <c r="H39" s="2">
        <v>1</v>
      </c>
      <c r="K39" s="5">
        <v>37</v>
      </c>
      <c r="L39" s="5" t="s">
        <v>39</v>
      </c>
      <c r="M39" s="5" t="s">
        <v>113</v>
      </c>
      <c r="N39" s="5" t="s">
        <v>117</v>
      </c>
      <c r="O39" s="5" t="s">
        <v>126</v>
      </c>
      <c r="P39" s="5">
        <v>87</v>
      </c>
      <c r="Q39" s="5">
        <v>74</v>
      </c>
      <c r="R39" s="5">
        <v>74</v>
      </c>
    </row>
    <row r="40" spans="1:18" x14ac:dyDescent="0.35">
      <c r="A40" s="2">
        <v>39</v>
      </c>
      <c r="B40" s="2" t="s">
        <v>19</v>
      </c>
      <c r="C40" s="2">
        <v>2</v>
      </c>
      <c r="D40" s="2">
        <v>1</v>
      </c>
      <c r="E40" s="2">
        <v>3</v>
      </c>
      <c r="F40" s="2">
        <v>1</v>
      </c>
      <c r="G40" s="2">
        <v>1</v>
      </c>
      <c r="H40" s="2">
        <v>1</v>
      </c>
      <c r="K40" s="5">
        <v>38</v>
      </c>
      <c r="L40" s="5" t="s">
        <v>59</v>
      </c>
      <c r="M40" s="5" t="s">
        <v>143</v>
      </c>
      <c r="N40" s="5" t="s">
        <v>120</v>
      </c>
      <c r="O40" s="5" t="s">
        <v>121</v>
      </c>
      <c r="P40" s="5">
        <v>78</v>
      </c>
      <c r="Q40" s="5">
        <v>78</v>
      </c>
      <c r="R40" s="5">
        <v>74</v>
      </c>
    </row>
    <row r="41" spans="1:18" x14ac:dyDescent="0.35">
      <c r="A41" s="2">
        <v>40</v>
      </c>
      <c r="B41" s="2" t="s">
        <v>43</v>
      </c>
      <c r="C41" s="2">
        <v>2</v>
      </c>
      <c r="D41" s="2">
        <v>2</v>
      </c>
      <c r="E41" s="2">
        <v>2</v>
      </c>
      <c r="F41" s="2">
        <v>4</v>
      </c>
      <c r="G41" s="2">
        <v>2</v>
      </c>
      <c r="H41" s="2">
        <v>1</v>
      </c>
      <c r="K41" s="5">
        <v>39</v>
      </c>
      <c r="L41" s="5" t="s">
        <v>19</v>
      </c>
      <c r="M41" s="5" t="s">
        <v>139</v>
      </c>
      <c r="N41" s="5" t="s">
        <v>114</v>
      </c>
      <c r="O41" s="5" t="s">
        <v>118</v>
      </c>
      <c r="P41" s="5">
        <v>74</v>
      </c>
      <c r="Q41" s="5">
        <v>74</v>
      </c>
      <c r="R41" s="5">
        <v>74</v>
      </c>
    </row>
    <row r="42" spans="1:18" x14ac:dyDescent="0.35">
      <c r="A42" s="2">
        <v>41</v>
      </c>
      <c r="B42" s="2" t="s">
        <v>54</v>
      </c>
      <c r="C42" s="2">
        <v>2</v>
      </c>
      <c r="D42" s="2">
        <v>3</v>
      </c>
      <c r="E42" s="2">
        <v>3</v>
      </c>
      <c r="F42" s="2">
        <v>3</v>
      </c>
      <c r="G42" s="2">
        <v>4</v>
      </c>
      <c r="H42" s="2">
        <v>1</v>
      </c>
      <c r="K42" s="5">
        <v>40</v>
      </c>
      <c r="L42" s="5" t="s">
        <v>43</v>
      </c>
      <c r="M42" s="5" t="s">
        <v>143</v>
      </c>
      <c r="N42" s="5" t="s">
        <v>117</v>
      </c>
      <c r="O42" s="5" t="s">
        <v>121</v>
      </c>
      <c r="P42" s="5">
        <v>89</v>
      </c>
      <c r="Q42" s="5">
        <v>78</v>
      </c>
      <c r="R42" s="5">
        <v>74</v>
      </c>
    </row>
    <row r="43" spans="1:18" x14ac:dyDescent="0.35">
      <c r="A43" s="2">
        <v>42</v>
      </c>
      <c r="B43" s="2" t="s">
        <v>72</v>
      </c>
      <c r="C43" s="2">
        <v>2</v>
      </c>
      <c r="D43" s="2">
        <v>1</v>
      </c>
      <c r="E43" s="2">
        <v>1</v>
      </c>
      <c r="F43" s="2">
        <v>4</v>
      </c>
      <c r="G43" s="2">
        <v>1</v>
      </c>
      <c r="H43" s="2">
        <v>1</v>
      </c>
      <c r="K43" s="5">
        <v>41</v>
      </c>
      <c r="L43" s="5" t="s">
        <v>54</v>
      </c>
      <c r="M43" s="5" t="s">
        <v>139</v>
      </c>
      <c r="N43" s="5" t="s">
        <v>140</v>
      </c>
      <c r="O43" s="5" t="s">
        <v>118</v>
      </c>
      <c r="P43" s="5">
        <v>87</v>
      </c>
      <c r="Q43" s="5">
        <v>89</v>
      </c>
      <c r="R43" s="5">
        <v>74</v>
      </c>
    </row>
    <row r="44" spans="1:18" x14ac:dyDescent="0.35">
      <c r="A44" s="2">
        <v>43</v>
      </c>
      <c r="B44" s="2" t="s">
        <v>57</v>
      </c>
      <c r="C44" s="2">
        <v>3</v>
      </c>
      <c r="D44" s="2">
        <v>2</v>
      </c>
      <c r="E44" s="2">
        <v>4</v>
      </c>
      <c r="F44" s="2">
        <v>4</v>
      </c>
      <c r="G44" s="2">
        <v>3</v>
      </c>
      <c r="H44" s="2">
        <v>1</v>
      </c>
      <c r="K44" s="5">
        <v>42</v>
      </c>
      <c r="L44" s="5" t="s">
        <v>72</v>
      </c>
      <c r="M44" s="5" t="s">
        <v>139</v>
      </c>
      <c r="N44" s="5" t="s">
        <v>114</v>
      </c>
      <c r="O44" s="5" t="s">
        <v>115</v>
      </c>
      <c r="P44" s="5">
        <v>89</v>
      </c>
      <c r="Q44" s="5">
        <v>74</v>
      </c>
      <c r="R44" s="5">
        <v>74</v>
      </c>
    </row>
    <row r="45" spans="1:18" x14ac:dyDescent="0.35">
      <c r="A45" s="2">
        <v>44</v>
      </c>
      <c r="B45" s="2" t="s">
        <v>64</v>
      </c>
      <c r="C45" s="2">
        <v>2</v>
      </c>
      <c r="D45" s="2">
        <v>3</v>
      </c>
      <c r="E45" s="2">
        <v>3</v>
      </c>
      <c r="F45" s="2">
        <v>3</v>
      </c>
      <c r="G45" s="2">
        <v>3</v>
      </c>
      <c r="H45" s="2">
        <v>1</v>
      </c>
      <c r="K45" s="5">
        <v>43</v>
      </c>
      <c r="L45" s="5" t="s">
        <v>57</v>
      </c>
      <c r="M45" s="5" t="s">
        <v>113</v>
      </c>
      <c r="N45" s="5" t="s">
        <v>117</v>
      </c>
      <c r="O45" s="5" t="s">
        <v>126</v>
      </c>
      <c r="P45" s="5">
        <v>89</v>
      </c>
      <c r="Q45" s="5">
        <v>87</v>
      </c>
      <c r="R45" s="5">
        <v>74</v>
      </c>
    </row>
    <row r="46" spans="1:18" x14ac:dyDescent="0.35">
      <c r="A46" s="2">
        <v>45</v>
      </c>
      <c r="B46" s="2" t="s">
        <v>41</v>
      </c>
      <c r="C46" s="2">
        <v>2</v>
      </c>
      <c r="D46" s="2">
        <v>4</v>
      </c>
      <c r="E46" s="2">
        <v>3</v>
      </c>
      <c r="F46" s="2">
        <v>3</v>
      </c>
      <c r="G46" s="2">
        <v>3</v>
      </c>
      <c r="H46" s="2">
        <v>1</v>
      </c>
      <c r="K46" s="5">
        <v>44</v>
      </c>
      <c r="L46" s="5" t="s">
        <v>64</v>
      </c>
      <c r="M46" s="5" t="s">
        <v>143</v>
      </c>
      <c r="N46" s="5" t="s">
        <v>140</v>
      </c>
      <c r="O46" s="5" t="s">
        <v>118</v>
      </c>
      <c r="P46" s="5">
        <v>87</v>
      </c>
      <c r="Q46" s="5">
        <v>87</v>
      </c>
      <c r="R46" s="5">
        <v>74</v>
      </c>
    </row>
    <row r="47" spans="1:18" x14ac:dyDescent="0.35">
      <c r="A47" s="2">
        <v>46</v>
      </c>
      <c r="B47" s="2" t="s">
        <v>37</v>
      </c>
      <c r="C47" s="2">
        <v>3</v>
      </c>
      <c r="D47" s="2">
        <v>2</v>
      </c>
      <c r="E47" s="2">
        <v>2</v>
      </c>
      <c r="F47" s="2">
        <v>3</v>
      </c>
      <c r="G47" s="2">
        <v>3</v>
      </c>
      <c r="H47" s="2">
        <v>3</v>
      </c>
      <c r="K47" s="5">
        <v>45</v>
      </c>
      <c r="L47" s="5" t="s">
        <v>41</v>
      </c>
      <c r="M47" s="5" t="s">
        <v>141</v>
      </c>
      <c r="N47" s="5" t="s">
        <v>120</v>
      </c>
      <c r="O47" s="5" t="s">
        <v>118</v>
      </c>
      <c r="P47" s="5">
        <v>87</v>
      </c>
      <c r="Q47" s="5">
        <v>87</v>
      </c>
      <c r="R47" s="5">
        <v>74</v>
      </c>
    </row>
    <row r="48" spans="1:18" x14ac:dyDescent="0.35">
      <c r="A48" s="2">
        <v>47</v>
      </c>
      <c r="B48" s="2" t="s">
        <v>20</v>
      </c>
      <c r="C48" s="2">
        <v>3</v>
      </c>
      <c r="D48" s="2">
        <v>4</v>
      </c>
      <c r="E48" s="2">
        <v>1</v>
      </c>
      <c r="F48" s="2">
        <v>4</v>
      </c>
      <c r="G48" s="2">
        <v>4</v>
      </c>
      <c r="H48" s="2">
        <v>1</v>
      </c>
      <c r="K48" s="5">
        <v>46</v>
      </c>
      <c r="L48" s="5" t="s">
        <v>37</v>
      </c>
      <c r="M48" s="5" t="s">
        <v>138</v>
      </c>
      <c r="N48" s="5" t="s">
        <v>117</v>
      </c>
      <c r="O48" s="5" t="s">
        <v>121</v>
      </c>
      <c r="P48" s="5">
        <v>87</v>
      </c>
      <c r="Q48" s="5">
        <v>87</v>
      </c>
      <c r="R48" s="5">
        <v>87</v>
      </c>
    </row>
    <row r="49" spans="1:18" x14ac:dyDescent="0.35">
      <c r="A49" s="2">
        <v>48</v>
      </c>
      <c r="B49" s="2" t="s">
        <v>75</v>
      </c>
      <c r="C49" s="2">
        <v>2</v>
      </c>
      <c r="D49" s="2">
        <v>3</v>
      </c>
      <c r="E49" s="2">
        <v>1</v>
      </c>
      <c r="F49" s="2">
        <v>4</v>
      </c>
      <c r="G49" s="2">
        <v>1</v>
      </c>
      <c r="H49" s="2">
        <v>1</v>
      </c>
      <c r="K49" s="5">
        <v>47</v>
      </c>
      <c r="L49" s="5" t="s">
        <v>20</v>
      </c>
      <c r="M49" s="5" t="s">
        <v>113</v>
      </c>
      <c r="N49" s="5" t="s">
        <v>120</v>
      </c>
      <c r="O49" s="5" t="s">
        <v>115</v>
      </c>
      <c r="P49" s="5">
        <v>89</v>
      </c>
      <c r="Q49" s="5">
        <v>89</v>
      </c>
      <c r="R49" s="5">
        <v>74</v>
      </c>
    </row>
    <row r="50" spans="1:18" x14ac:dyDescent="0.35">
      <c r="A50" s="2">
        <v>49</v>
      </c>
      <c r="B50" s="2" t="s">
        <v>56</v>
      </c>
      <c r="C50" s="2">
        <v>2</v>
      </c>
      <c r="D50" s="2">
        <v>3</v>
      </c>
      <c r="E50" s="2">
        <v>3</v>
      </c>
      <c r="F50" s="2">
        <v>1</v>
      </c>
      <c r="G50" s="2">
        <v>1</v>
      </c>
      <c r="H50" s="2">
        <v>1</v>
      </c>
      <c r="K50" s="5">
        <v>48</v>
      </c>
      <c r="L50" s="5" t="s">
        <v>75</v>
      </c>
      <c r="M50" s="5" t="s">
        <v>144</v>
      </c>
      <c r="N50" s="5" t="s">
        <v>140</v>
      </c>
      <c r="O50" s="5" t="s">
        <v>115</v>
      </c>
      <c r="P50" s="5">
        <v>89</v>
      </c>
      <c r="Q50" s="5">
        <v>74</v>
      </c>
      <c r="R50" s="5">
        <v>74</v>
      </c>
    </row>
    <row r="51" spans="1:18" x14ac:dyDescent="0.35">
      <c r="A51" s="2">
        <v>50</v>
      </c>
      <c r="B51" s="2" t="s">
        <v>50</v>
      </c>
      <c r="C51" s="2">
        <v>2</v>
      </c>
      <c r="D51" s="2">
        <v>3</v>
      </c>
      <c r="E51" s="2">
        <v>3</v>
      </c>
      <c r="F51" s="2">
        <v>4</v>
      </c>
      <c r="G51" s="2">
        <v>4</v>
      </c>
      <c r="H51" s="2">
        <v>4</v>
      </c>
      <c r="K51" s="5">
        <v>49</v>
      </c>
      <c r="L51" s="5" t="s">
        <v>56</v>
      </c>
      <c r="M51" s="5" t="s">
        <v>141</v>
      </c>
      <c r="N51" s="5" t="s">
        <v>140</v>
      </c>
      <c r="O51" s="5" t="s">
        <v>118</v>
      </c>
      <c r="P51" s="5">
        <v>74</v>
      </c>
      <c r="Q51" s="5">
        <v>74</v>
      </c>
      <c r="R51" s="5">
        <v>74</v>
      </c>
    </row>
    <row r="52" spans="1:18" x14ac:dyDescent="0.35">
      <c r="A52" s="2">
        <v>51</v>
      </c>
      <c r="B52" s="2" t="s">
        <v>67</v>
      </c>
      <c r="C52" s="2">
        <v>3</v>
      </c>
      <c r="D52" s="2">
        <v>3</v>
      </c>
      <c r="E52" s="2">
        <v>2</v>
      </c>
      <c r="F52" s="2">
        <v>2</v>
      </c>
      <c r="G52" s="2">
        <v>3</v>
      </c>
      <c r="H52" s="2">
        <v>1</v>
      </c>
      <c r="K52" s="5">
        <v>50</v>
      </c>
      <c r="L52" s="5" t="s">
        <v>50</v>
      </c>
      <c r="M52" s="5" t="s">
        <v>145</v>
      </c>
      <c r="N52" s="5" t="s">
        <v>140</v>
      </c>
      <c r="O52" s="5" t="s">
        <v>118</v>
      </c>
      <c r="P52" s="5">
        <v>89</v>
      </c>
      <c r="Q52" s="5">
        <v>89</v>
      </c>
      <c r="R52" s="5">
        <v>89</v>
      </c>
    </row>
    <row r="53" spans="1:18" x14ac:dyDescent="0.35">
      <c r="A53" s="2">
        <v>52</v>
      </c>
      <c r="B53" s="2" t="s">
        <v>44</v>
      </c>
      <c r="C53" s="2">
        <v>2</v>
      </c>
      <c r="D53" s="2">
        <v>1</v>
      </c>
      <c r="E53" s="2">
        <v>4</v>
      </c>
      <c r="F53" s="2">
        <v>1</v>
      </c>
      <c r="G53" s="2">
        <v>4</v>
      </c>
      <c r="H53" s="2">
        <v>1</v>
      </c>
      <c r="K53" s="5">
        <v>51</v>
      </c>
      <c r="L53" s="5" t="s">
        <v>146</v>
      </c>
      <c r="M53" s="5" t="s">
        <v>134</v>
      </c>
      <c r="N53" s="5" t="s">
        <v>140</v>
      </c>
      <c r="O53" s="5" t="s">
        <v>121</v>
      </c>
      <c r="P53" s="5">
        <v>78</v>
      </c>
      <c r="Q53" s="5">
        <v>87</v>
      </c>
      <c r="R53" s="5">
        <v>74</v>
      </c>
    </row>
    <row r="54" spans="1:18" x14ac:dyDescent="0.35">
      <c r="A54" s="2">
        <v>53</v>
      </c>
      <c r="B54" s="2" t="s">
        <v>47</v>
      </c>
      <c r="C54" s="2">
        <v>2</v>
      </c>
      <c r="D54" s="2">
        <v>3</v>
      </c>
      <c r="E54" s="2">
        <v>1</v>
      </c>
      <c r="F54" s="2">
        <v>4</v>
      </c>
      <c r="G54" s="2">
        <v>1</v>
      </c>
      <c r="H54" s="2">
        <v>1</v>
      </c>
      <c r="K54" s="5">
        <v>52</v>
      </c>
      <c r="L54" s="5" t="s">
        <v>44</v>
      </c>
      <c r="M54" s="5" t="s">
        <v>144</v>
      </c>
      <c r="N54" s="5" t="s">
        <v>114</v>
      </c>
      <c r="O54" s="5" t="s">
        <v>126</v>
      </c>
      <c r="P54" s="5">
        <v>74</v>
      </c>
      <c r="Q54" s="5">
        <v>89</v>
      </c>
      <c r="R54" s="5">
        <v>74</v>
      </c>
    </row>
    <row r="55" spans="1:18" x14ac:dyDescent="0.35">
      <c r="A55" s="2">
        <v>54</v>
      </c>
      <c r="B55" s="2" t="s">
        <v>30</v>
      </c>
      <c r="C55" s="2">
        <v>2</v>
      </c>
      <c r="D55" s="2">
        <v>1</v>
      </c>
      <c r="E55" s="2">
        <v>4</v>
      </c>
      <c r="F55" s="2">
        <v>3</v>
      </c>
      <c r="G55" s="2">
        <v>3</v>
      </c>
      <c r="H55" s="2">
        <v>1</v>
      </c>
      <c r="K55" s="5">
        <v>53</v>
      </c>
      <c r="L55" s="5" t="s">
        <v>47</v>
      </c>
      <c r="M55" s="5" t="s">
        <v>141</v>
      </c>
      <c r="N55" s="5" t="s">
        <v>140</v>
      </c>
      <c r="O55" s="5" t="s">
        <v>115</v>
      </c>
      <c r="P55" s="5">
        <v>89</v>
      </c>
      <c r="Q55" s="5">
        <v>74</v>
      </c>
      <c r="R55" s="5">
        <v>74</v>
      </c>
    </row>
    <row r="56" spans="1:18" x14ac:dyDescent="0.35">
      <c r="A56" s="2">
        <v>55</v>
      </c>
      <c r="B56" s="2" t="s">
        <v>65</v>
      </c>
      <c r="C56" s="2">
        <v>3</v>
      </c>
      <c r="D56" s="2">
        <v>3</v>
      </c>
      <c r="E56" s="2">
        <v>3</v>
      </c>
      <c r="F56" s="2">
        <v>3</v>
      </c>
      <c r="G56" s="2">
        <v>3</v>
      </c>
      <c r="H56" s="2">
        <v>1</v>
      </c>
      <c r="K56" s="5">
        <v>54</v>
      </c>
      <c r="L56" s="5" t="s">
        <v>30</v>
      </c>
      <c r="M56" s="5" t="s">
        <v>144</v>
      </c>
      <c r="N56" s="5" t="s">
        <v>114</v>
      </c>
      <c r="O56" s="5" t="s">
        <v>126</v>
      </c>
      <c r="P56" s="5">
        <v>87</v>
      </c>
      <c r="Q56" s="5">
        <v>87</v>
      </c>
      <c r="R56" s="5">
        <v>74</v>
      </c>
    </row>
    <row r="57" spans="1:18" x14ac:dyDescent="0.35">
      <c r="A57" s="2">
        <v>56</v>
      </c>
      <c r="B57" s="2" t="s">
        <v>79</v>
      </c>
      <c r="C57" s="2">
        <v>2</v>
      </c>
      <c r="D57" s="2">
        <v>3</v>
      </c>
      <c r="E57" s="2">
        <v>1</v>
      </c>
      <c r="F57" s="2">
        <v>1</v>
      </c>
      <c r="G57" s="2">
        <v>1</v>
      </c>
      <c r="H57" s="2">
        <v>1</v>
      </c>
      <c r="K57" s="5">
        <v>55</v>
      </c>
      <c r="L57" s="5" t="s">
        <v>147</v>
      </c>
      <c r="M57" s="5" t="s">
        <v>134</v>
      </c>
      <c r="N57" s="5" t="s">
        <v>140</v>
      </c>
      <c r="O57" s="5" t="s">
        <v>118</v>
      </c>
      <c r="P57" s="5">
        <v>87</v>
      </c>
      <c r="Q57" s="5">
        <v>87</v>
      </c>
      <c r="R57" s="5">
        <v>74</v>
      </c>
    </row>
    <row r="58" spans="1:18" x14ac:dyDescent="0.35">
      <c r="A58" s="2">
        <v>57</v>
      </c>
      <c r="B58" s="2" t="s">
        <v>38</v>
      </c>
      <c r="C58" s="2">
        <v>3</v>
      </c>
      <c r="D58" s="2">
        <v>3</v>
      </c>
      <c r="E58" s="2">
        <v>3</v>
      </c>
      <c r="F58" s="2">
        <v>4</v>
      </c>
      <c r="G58" s="2">
        <v>1</v>
      </c>
      <c r="H58" s="2">
        <v>1</v>
      </c>
      <c r="K58" s="5">
        <v>56</v>
      </c>
      <c r="L58" s="5" t="s">
        <v>79</v>
      </c>
      <c r="M58" s="5" t="s">
        <v>143</v>
      </c>
      <c r="N58" s="5" t="s">
        <v>140</v>
      </c>
      <c r="O58" s="5" t="s">
        <v>115</v>
      </c>
      <c r="P58" s="5">
        <v>74</v>
      </c>
      <c r="Q58" s="5">
        <v>74</v>
      </c>
      <c r="R58" s="5">
        <v>74</v>
      </c>
    </row>
    <row r="59" spans="1:18" x14ac:dyDescent="0.35">
      <c r="A59" s="2">
        <v>58</v>
      </c>
      <c r="B59" s="2" t="s">
        <v>73</v>
      </c>
      <c r="C59" s="2">
        <v>2</v>
      </c>
      <c r="D59" s="2">
        <v>1</v>
      </c>
      <c r="E59" s="2">
        <v>3</v>
      </c>
      <c r="F59" s="2">
        <v>1</v>
      </c>
      <c r="G59" s="2">
        <v>1</v>
      </c>
      <c r="H59" s="2">
        <v>4</v>
      </c>
      <c r="K59" s="5">
        <v>57</v>
      </c>
      <c r="L59" s="5" t="s">
        <v>38</v>
      </c>
      <c r="M59" s="5" t="s">
        <v>113</v>
      </c>
      <c r="N59" s="5" t="s">
        <v>140</v>
      </c>
      <c r="O59" s="5" t="s">
        <v>118</v>
      </c>
      <c r="P59" s="5">
        <v>89</v>
      </c>
      <c r="Q59" s="5">
        <v>74</v>
      </c>
      <c r="R59" s="5">
        <v>74</v>
      </c>
    </row>
    <row r="60" spans="1:18" x14ac:dyDescent="0.35">
      <c r="A60" s="2">
        <v>59</v>
      </c>
      <c r="B60" s="2" t="s">
        <v>36</v>
      </c>
      <c r="C60" s="2">
        <v>2</v>
      </c>
      <c r="D60" s="2">
        <v>1</v>
      </c>
      <c r="E60" s="2">
        <v>2</v>
      </c>
      <c r="F60" s="2">
        <v>1</v>
      </c>
      <c r="G60" s="2">
        <v>4</v>
      </c>
      <c r="H60" s="2">
        <v>4</v>
      </c>
      <c r="K60" s="5">
        <v>58</v>
      </c>
      <c r="L60" s="5" t="s">
        <v>73</v>
      </c>
      <c r="M60" s="5" t="s">
        <v>144</v>
      </c>
      <c r="N60" s="5" t="s">
        <v>114</v>
      </c>
      <c r="O60" s="5" t="s">
        <v>118</v>
      </c>
      <c r="P60" s="5">
        <v>74</v>
      </c>
      <c r="Q60" s="5">
        <v>74</v>
      </c>
      <c r="R60" s="5">
        <v>89</v>
      </c>
    </row>
    <row r="61" spans="1:18" x14ac:dyDescent="0.35">
      <c r="A61" s="2">
        <v>60</v>
      </c>
      <c r="B61" s="2" t="s">
        <v>28</v>
      </c>
      <c r="C61" s="2">
        <v>1</v>
      </c>
      <c r="D61" s="2">
        <v>4</v>
      </c>
      <c r="E61" s="2">
        <v>1</v>
      </c>
      <c r="F61" s="2">
        <v>4</v>
      </c>
      <c r="G61" s="2">
        <v>4</v>
      </c>
      <c r="H61" s="2">
        <v>2</v>
      </c>
      <c r="K61" s="5">
        <v>59</v>
      </c>
      <c r="L61" s="5" t="s">
        <v>36</v>
      </c>
      <c r="M61" s="5" t="s">
        <v>139</v>
      </c>
      <c r="N61" s="5" t="s">
        <v>114</v>
      </c>
      <c r="O61" s="5" t="s">
        <v>121</v>
      </c>
      <c r="P61" s="5">
        <v>74</v>
      </c>
      <c r="Q61" s="5">
        <v>89</v>
      </c>
      <c r="R61" s="5">
        <v>89</v>
      </c>
    </row>
    <row r="62" spans="1:18" x14ac:dyDescent="0.35">
      <c r="A62" s="19" t="s">
        <v>156</v>
      </c>
      <c r="K62" s="5">
        <v>60</v>
      </c>
      <c r="L62" s="5" t="s">
        <v>28</v>
      </c>
      <c r="M62" s="5" t="s">
        <v>131</v>
      </c>
      <c r="N62" s="5" t="s">
        <v>120</v>
      </c>
      <c r="O62" s="5" t="s">
        <v>115</v>
      </c>
      <c r="P62" s="5">
        <v>89</v>
      </c>
      <c r="Q62" s="5">
        <v>89</v>
      </c>
      <c r="R62" s="5">
        <v>78</v>
      </c>
    </row>
    <row r="63" spans="1:18" x14ac:dyDescent="0.35">
      <c r="A63" s="24" t="s">
        <v>150</v>
      </c>
      <c r="B63" s="25"/>
      <c r="C63" s="25">
        <f>MAX(C2:C61)</f>
        <v>4</v>
      </c>
      <c r="D63" s="25">
        <f t="shared" ref="D63:G63" si="0">MAX(D2:D61)</f>
        <v>4</v>
      </c>
      <c r="E63" s="25">
        <f t="shared" si="0"/>
        <v>4</v>
      </c>
      <c r="F63" s="25">
        <f t="shared" si="0"/>
        <v>4</v>
      </c>
      <c r="G63" s="25">
        <f t="shared" si="0"/>
        <v>4</v>
      </c>
      <c r="H63" s="25">
        <f>MAX(H2:H61)</f>
        <v>4</v>
      </c>
      <c r="I63" s="23"/>
    </row>
    <row r="64" spans="1:18" x14ac:dyDescent="0.35">
      <c r="A64" s="24" t="s">
        <v>151</v>
      </c>
      <c r="B64" s="25"/>
      <c r="C64" s="25">
        <f>MIN(C2:C61)</f>
        <v>1</v>
      </c>
      <c r="D64" s="25">
        <f t="shared" ref="D64:H64" si="1">MIN(D2:D61)</f>
        <v>1</v>
      </c>
      <c r="E64" s="25">
        <f t="shared" si="1"/>
        <v>1</v>
      </c>
      <c r="F64" s="25">
        <f t="shared" si="1"/>
        <v>1</v>
      </c>
      <c r="G64" s="25">
        <f t="shared" si="1"/>
        <v>1</v>
      </c>
      <c r="H64" s="25">
        <f t="shared" si="1"/>
        <v>1</v>
      </c>
    </row>
    <row r="65" spans="1:15" x14ac:dyDescent="0.35">
      <c r="A65" s="19" t="s">
        <v>153</v>
      </c>
      <c r="L65" s="19" t="s">
        <v>108</v>
      </c>
    </row>
    <row r="66" spans="1:15" x14ac:dyDescent="0.35">
      <c r="A66" s="22" t="s">
        <v>16</v>
      </c>
      <c r="B66" s="22" t="s">
        <v>111</v>
      </c>
      <c r="C66" s="22" t="s">
        <v>0</v>
      </c>
      <c r="D66" s="22" t="s">
        <v>3</v>
      </c>
      <c r="E66" s="22" t="s">
        <v>5</v>
      </c>
      <c r="F66" s="22" t="s">
        <v>7</v>
      </c>
      <c r="G66" s="22" t="s">
        <v>9</v>
      </c>
      <c r="H66" s="22" t="s">
        <v>11</v>
      </c>
      <c r="K66" s="4" t="s">
        <v>80</v>
      </c>
      <c r="L66" s="4" t="s">
        <v>81</v>
      </c>
      <c r="M66" s="4" t="s">
        <v>14</v>
      </c>
      <c r="N66" s="4" t="s">
        <v>15</v>
      </c>
      <c r="O66" s="4" t="s">
        <v>82</v>
      </c>
    </row>
    <row r="67" spans="1:15" x14ac:dyDescent="0.35">
      <c r="A67" s="2">
        <v>1</v>
      </c>
      <c r="B67" s="2" t="s">
        <v>52</v>
      </c>
      <c r="C67" s="1">
        <f>(C2-$C$64)/($C$63-$C$64)</f>
        <v>0.66666666666666663</v>
      </c>
      <c r="D67" s="1">
        <f>(D2-$C$64)/($C$63-$C$64)</f>
        <v>0</v>
      </c>
      <c r="E67" s="1">
        <f t="shared" ref="E67:H67" si="2">(E2-$C$64)/($C$63-$C$64)</f>
        <v>0</v>
      </c>
      <c r="F67" s="1">
        <f t="shared" si="2"/>
        <v>0</v>
      </c>
      <c r="G67" s="1">
        <f t="shared" si="2"/>
        <v>0.66666666666666663</v>
      </c>
      <c r="H67" s="1">
        <f t="shared" si="2"/>
        <v>0.66666666666666663</v>
      </c>
      <c r="K67" s="6" t="s">
        <v>0</v>
      </c>
      <c r="L67" s="6" t="s">
        <v>1</v>
      </c>
      <c r="M67" s="7">
        <v>0.2</v>
      </c>
      <c r="N67" s="8">
        <v>1.3888888888888888E-2</v>
      </c>
      <c r="O67" s="6" t="s">
        <v>2</v>
      </c>
    </row>
    <row r="68" spans="1:15" x14ac:dyDescent="0.35">
      <c r="A68" s="2">
        <v>2</v>
      </c>
      <c r="B68" s="2" t="s">
        <v>42</v>
      </c>
      <c r="C68" s="1">
        <f>(C3-$C$64)/($C$63-$C$64)</f>
        <v>0.66666666666666663</v>
      </c>
      <c r="D68" s="1">
        <f>(D3-$C$64)/($C$63-$C$64)</f>
        <v>0.33333333333333331</v>
      </c>
      <c r="E68" s="1">
        <f t="shared" ref="E68:H68" si="3">(E3-$C$64)/($C$63-$C$64)</f>
        <v>0.66666666666666663</v>
      </c>
      <c r="F68" s="1">
        <f t="shared" si="3"/>
        <v>1</v>
      </c>
      <c r="G68" s="1">
        <f t="shared" si="3"/>
        <v>0</v>
      </c>
      <c r="H68" s="1">
        <f t="shared" si="3"/>
        <v>0.66666666666666663</v>
      </c>
      <c r="K68" s="6" t="s">
        <v>3</v>
      </c>
      <c r="L68" s="6" t="s">
        <v>4</v>
      </c>
      <c r="M68" s="7">
        <v>0.15</v>
      </c>
      <c r="N68" s="8">
        <v>1.0416666666666666E-2</v>
      </c>
      <c r="O68" s="6" t="s">
        <v>2</v>
      </c>
    </row>
    <row r="69" spans="1:15" x14ac:dyDescent="0.35">
      <c r="A69" s="2">
        <v>3</v>
      </c>
      <c r="B69" s="2" t="s">
        <v>51</v>
      </c>
      <c r="C69" s="1">
        <f t="shared" ref="C69:H69" si="4">(C4-$C$64)/($C$63-$C$64)</f>
        <v>1</v>
      </c>
      <c r="D69" s="1">
        <f t="shared" si="4"/>
        <v>1</v>
      </c>
      <c r="E69" s="1">
        <f t="shared" si="4"/>
        <v>0.33333333333333331</v>
      </c>
      <c r="F69" s="1">
        <f t="shared" si="4"/>
        <v>0.33333333333333331</v>
      </c>
      <c r="G69" s="1">
        <f t="shared" si="4"/>
        <v>0.66666666666666663</v>
      </c>
      <c r="H69" s="1">
        <f t="shared" si="4"/>
        <v>0</v>
      </c>
      <c r="K69" s="6" t="s">
        <v>5</v>
      </c>
      <c r="L69" s="6" t="s">
        <v>6</v>
      </c>
      <c r="M69" s="7">
        <v>0.1</v>
      </c>
      <c r="N69" s="8">
        <v>6.9444444444444441E-3</v>
      </c>
      <c r="O69" s="6" t="s">
        <v>2</v>
      </c>
    </row>
    <row r="70" spans="1:15" x14ac:dyDescent="0.35">
      <c r="A70" s="2">
        <v>4</v>
      </c>
      <c r="B70" s="2" t="s">
        <v>25</v>
      </c>
      <c r="C70" s="1">
        <f t="shared" ref="C70:H70" si="5">(C5-$C$64)/($C$63-$C$64)</f>
        <v>0.66666666666666663</v>
      </c>
      <c r="D70" s="1">
        <f t="shared" si="5"/>
        <v>1</v>
      </c>
      <c r="E70" s="1">
        <f t="shared" si="5"/>
        <v>0</v>
      </c>
      <c r="F70" s="1">
        <f t="shared" si="5"/>
        <v>0.33333333333333331</v>
      </c>
      <c r="G70" s="1">
        <f t="shared" si="5"/>
        <v>0</v>
      </c>
      <c r="H70" s="1">
        <f t="shared" si="5"/>
        <v>0</v>
      </c>
      <c r="K70" s="6" t="s">
        <v>7</v>
      </c>
      <c r="L70" s="6" t="s">
        <v>8</v>
      </c>
      <c r="M70" s="7">
        <v>0.1</v>
      </c>
      <c r="N70" s="8">
        <v>6.9444444444444441E-3</v>
      </c>
      <c r="O70" s="6" t="s">
        <v>2</v>
      </c>
    </row>
    <row r="71" spans="1:15" x14ac:dyDescent="0.35">
      <c r="A71" s="2">
        <v>5</v>
      </c>
      <c r="B71" s="2" t="s">
        <v>45</v>
      </c>
      <c r="C71" s="1">
        <f t="shared" ref="C71:H71" si="6">(C6-$C$64)/($C$63-$C$64)</f>
        <v>0.33333333333333331</v>
      </c>
      <c r="D71" s="1">
        <f t="shared" si="6"/>
        <v>0</v>
      </c>
      <c r="E71" s="1">
        <f t="shared" si="6"/>
        <v>0.66666666666666663</v>
      </c>
      <c r="F71" s="1">
        <f t="shared" si="6"/>
        <v>0.66666666666666663</v>
      </c>
      <c r="G71" s="1">
        <f t="shared" si="6"/>
        <v>0</v>
      </c>
      <c r="H71" s="1">
        <f t="shared" si="6"/>
        <v>0.33333333333333331</v>
      </c>
      <c r="K71" s="6" t="s">
        <v>9</v>
      </c>
      <c r="L71" s="6" t="s">
        <v>10</v>
      </c>
      <c r="M71" s="7">
        <v>0.15</v>
      </c>
      <c r="N71" s="8">
        <v>1.0416666666666666E-2</v>
      </c>
      <c r="O71" s="6" t="s">
        <v>2</v>
      </c>
    </row>
    <row r="72" spans="1:15" x14ac:dyDescent="0.35">
      <c r="A72" s="2">
        <v>6</v>
      </c>
      <c r="B72" s="2" t="s">
        <v>26</v>
      </c>
      <c r="C72" s="1">
        <f t="shared" ref="C72:H72" si="7">(C7-$C$64)/($C$63-$C$64)</f>
        <v>0.33333333333333331</v>
      </c>
      <c r="D72" s="1">
        <f t="shared" si="7"/>
        <v>0.66666666666666663</v>
      </c>
      <c r="E72" s="1">
        <f t="shared" si="7"/>
        <v>1</v>
      </c>
      <c r="F72" s="1">
        <f t="shared" si="7"/>
        <v>0.33333333333333331</v>
      </c>
      <c r="G72" s="1">
        <f t="shared" si="7"/>
        <v>0.66666666666666663</v>
      </c>
      <c r="H72" s="1">
        <f t="shared" si="7"/>
        <v>0.33333333333333331</v>
      </c>
      <c r="K72" s="6" t="s">
        <v>11</v>
      </c>
      <c r="L72" s="6" t="s">
        <v>12</v>
      </c>
      <c r="M72" s="7">
        <v>0.3</v>
      </c>
      <c r="N72" s="8">
        <v>2.0833333333333332E-2</v>
      </c>
      <c r="O72" s="6" t="s">
        <v>2</v>
      </c>
    </row>
    <row r="73" spans="1:15" ht="29" x14ac:dyDescent="0.35">
      <c r="A73" s="2">
        <v>7</v>
      </c>
      <c r="B73" s="2" t="s">
        <v>35</v>
      </c>
      <c r="C73" s="1">
        <f t="shared" ref="C73:H73" si="8">(C8-$C$64)/($C$63-$C$64)</f>
        <v>0.66666666666666663</v>
      </c>
      <c r="D73" s="1">
        <f t="shared" si="8"/>
        <v>0.66666666666666663</v>
      </c>
      <c r="E73" s="1">
        <f t="shared" si="8"/>
        <v>0.33333333333333331</v>
      </c>
      <c r="F73" s="1">
        <f t="shared" si="8"/>
        <v>0.33333333333333331</v>
      </c>
      <c r="G73" s="1">
        <f t="shared" si="8"/>
        <v>0</v>
      </c>
      <c r="H73" s="1">
        <f t="shared" si="8"/>
        <v>1</v>
      </c>
      <c r="K73" s="9" t="s">
        <v>13</v>
      </c>
      <c r="L73" s="6"/>
      <c r="M73" s="10">
        <v>1</v>
      </c>
      <c r="N73" s="6"/>
      <c r="O73" s="11"/>
    </row>
    <row r="74" spans="1:15" x14ac:dyDescent="0.35">
      <c r="A74" s="2">
        <v>8</v>
      </c>
      <c r="B74" s="2" t="s">
        <v>17</v>
      </c>
      <c r="C74" s="1">
        <f t="shared" ref="C74:H74" si="9">(C9-$C$64)/($C$63-$C$64)</f>
        <v>0.33333333333333331</v>
      </c>
      <c r="D74" s="1">
        <f t="shared" si="9"/>
        <v>0.66666666666666663</v>
      </c>
      <c r="E74" s="1">
        <f t="shared" si="9"/>
        <v>0.66666666666666663</v>
      </c>
      <c r="F74" s="1">
        <f t="shared" si="9"/>
        <v>0.33333333333333331</v>
      </c>
      <c r="G74" s="1">
        <f t="shared" si="9"/>
        <v>0</v>
      </c>
      <c r="H74" s="1">
        <f t="shared" si="9"/>
        <v>0</v>
      </c>
    </row>
    <row r="75" spans="1:15" x14ac:dyDescent="0.35">
      <c r="A75" s="2">
        <v>9</v>
      </c>
      <c r="B75" s="2" t="s">
        <v>46</v>
      </c>
      <c r="C75" s="1">
        <f t="shared" ref="C75:H75" si="10">(C10-$C$64)/($C$63-$C$64)</f>
        <v>1</v>
      </c>
      <c r="D75" s="1">
        <f t="shared" si="10"/>
        <v>0</v>
      </c>
      <c r="E75" s="1">
        <f t="shared" si="10"/>
        <v>0</v>
      </c>
      <c r="F75" s="1">
        <f t="shared" si="10"/>
        <v>0.33333333333333331</v>
      </c>
      <c r="G75" s="1">
        <f t="shared" si="10"/>
        <v>0</v>
      </c>
      <c r="H75" s="1">
        <f t="shared" si="10"/>
        <v>1</v>
      </c>
      <c r="L75" s="26" t="s">
        <v>154</v>
      </c>
      <c r="M75" s="26" t="s">
        <v>149</v>
      </c>
    </row>
    <row r="76" spans="1:15" x14ac:dyDescent="0.35">
      <c r="A76" s="2">
        <v>10</v>
      </c>
      <c r="B76" s="2" t="s">
        <v>76</v>
      </c>
      <c r="C76" s="1">
        <f t="shared" ref="C76:H76" si="11">(C11-$C$64)/($C$63-$C$64)</f>
        <v>0.66666666666666663</v>
      </c>
      <c r="D76" s="1">
        <f t="shared" si="11"/>
        <v>0</v>
      </c>
      <c r="E76" s="1">
        <f t="shared" si="11"/>
        <v>1</v>
      </c>
      <c r="F76" s="1">
        <f t="shared" si="11"/>
        <v>0.33333333333333331</v>
      </c>
      <c r="G76" s="1">
        <f t="shared" si="11"/>
        <v>0.33333333333333331</v>
      </c>
      <c r="H76" s="1">
        <f t="shared" si="11"/>
        <v>0.66666666666666663</v>
      </c>
      <c r="L76" s="27" t="s">
        <v>0</v>
      </c>
      <c r="M76" s="27">
        <f t="shared" ref="M76:M81" si="12">M67*10/10</f>
        <v>0.2</v>
      </c>
    </row>
    <row r="77" spans="1:15" x14ac:dyDescent="0.35">
      <c r="A77" s="2">
        <v>11</v>
      </c>
      <c r="B77" s="2" t="s">
        <v>32</v>
      </c>
      <c r="C77" s="1">
        <f t="shared" ref="C77:H77" si="13">(C12-$C$64)/($C$63-$C$64)</f>
        <v>0.33333333333333331</v>
      </c>
      <c r="D77" s="1">
        <f t="shared" si="13"/>
        <v>0.33333333333333331</v>
      </c>
      <c r="E77" s="1">
        <f t="shared" si="13"/>
        <v>0.33333333333333331</v>
      </c>
      <c r="F77" s="1">
        <f t="shared" si="13"/>
        <v>0.66666666666666663</v>
      </c>
      <c r="G77" s="1">
        <f t="shared" si="13"/>
        <v>0.33333333333333331</v>
      </c>
      <c r="H77" s="1">
        <f t="shared" si="13"/>
        <v>0</v>
      </c>
      <c r="L77" s="27" t="s">
        <v>3</v>
      </c>
      <c r="M77" s="27">
        <f t="shared" si="12"/>
        <v>0.15</v>
      </c>
    </row>
    <row r="78" spans="1:15" x14ac:dyDescent="0.35">
      <c r="A78" s="2">
        <v>12</v>
      </c>
      <c r="B78" s="2" t="s">
        <v>24</v>
      </c>
      <c r="C78" s="1">
        <f t="shared" ref="C78:H78" si="14">(C13-$C$64)/($C$63-$C$64)</f>
        <v>0.66666666666666663</v>
      </c>
      <c r="D78" s="1">
        <f t="shared" si="14"/>
        <v>0.66666666666666663</v>
      </c>
      <c r="E78" s="1">
        <f t="shared" si="14"/>
        <v>0</v>
      </c>
      <c r="F78" s="1">
        <f t="shared" si="14"/>
        <v>1</v>
      </c>
      <c r="G78" s="1">
        <f t="shared" si="14"/>
        <v>0.66666666666666663</v>
      </c>
      <c r="H78" s="1">
        <f t="shared" si="14"/>
        <v>0.33333333333333331</v>
      </c>
      <c r="L78" s="27" t="s">
        <v>5</v>
      </c>
      <c r="M78" s="27">
        <f t="shared" si="12"/>
        <v>0.1</v>
      </c>
    </row>
    <row r="79" spans="1:15" x14ac:dyDescent="0.35">
      <c r="A79" s="2">
        <v>13</v>
      </c>
      <c r="B79" s="2" t="s">
        <v>49</v>
      </c>
      <c r="C79" s="1">
        <f t="shared" ref="C79:H79" si="15">(C14-$C$64)/($C$63-$C$64)</f>
        <v>0</v>
      </c>
      <c r="D79" s="1">
        <f t="shared" si="15"/>
        <v>0</v>
      </c>
      <c r="E79" s="1">
        <f t="shared" si="15"/>
        <v>0.66666666666666663</v>
      </c>
      <c r="F79" s="1">
        <f t="shared" si="15"/>
        <v>0.66666666666666663</v>
      </c>
      <c r="G79" s="1">
        <f t="shared" si="15"/>
        <v>0.66666666666666663</v>
      </c>
      <c r="H79" s="1">
        <f t="shared" si="15"/>
        <v>0.66666666666666663</v>
      </c>
      <c r="L79" s="27" t="s">
        <v>7</v>
      </c>
      <c r="M79" s="27">
        <f t="shared" si="12"/>
        <v>0.1</v>
      </c>
    </row>
    <row r="80" spans="1:15" x14ac:dyDescent="0.35">
      <c r="A80" s="2">
        <v>14</v>
      </c>
      <c r="B80" s="2" t="s">
        <v>48</v>
      </c>
      <c r="C80" s="1">
        <f t="shared" ref="C80:H80" si="16">(C15-$C$64)/($C$63-$C$64)</f>
        <v>0.33333333333333331</v>
      </c>
      <c r="D80" s="1">
        <f t="shared" si="16"/>
        <v>0.33333333333333331</v>
      </c>
      <c r="E80" s="1">
        <f t="shared" si="16"/>
        <v>0.33333333333333331</v>
      </c>
      <c r="F80" s="1">
        <f t="shared" si="16"/>
        <v>1</v>
      </c>
      <c r="G80" s="1">
        <f t="shared" si="16"/>
        <v>0</v>
      </c>
      <c r="H80" s="1">
        <f t="shared" si="16"/>
        <v>0</v>
      </c>
      <c r="L80" s="27" t="s">
        <v>9</v>
      </c>
      <c r="M80" s="27">
        <f t="shared" si="12"/>
        <v>0.15</v>
      </c>
    </row>
    <row r="81" spans="1:13" x14ac:dyDescent="0.35">
      <c r="A81" s="2">
        <v>15</v>
      </c>
      <c r="B81" s="2" t="s">
        <v>66</v>
      </c>
      <c r="C81" s="1">
        <f t="shared" ref="C81:H81" si="17">(C16-$C$64)/($C$63-$C$64)</f>
        <v>0.66666666666666663</v>
      </c>
      <c r="D81" s="1">
        <f t="shared" si="17"/>
        <v>0.66666666666666663</v>
      </c>
      <c r="E81" s="1">
        <f t="shared" si="17"/>
        <v>0</v>
      </c>
      <c r="F81" s="1">
        <f t="shared" si="17"/>
        <v>0.33333333333333331</v>
      </c>
      <c r="G81" s="1">
        <f t="shared" si="17"/>
        <v>0</v>
      </c>
      <c r="H81" s="1">
        <f t="shared" si="17"/>
        <v>0</v>
      </c>
      <c r="L81" s="27" t="s">
        <v>11</v>
      </c>
      <c r="M81" s="27">
        <f t="shared" si="12"/>
        <v>0.3</v>
      </c>
    </row>
    <row r="82" spans="1:13" x14ac:dyDescent="0.35">
      <c r="A82" s="2">
        <v>16</v>
      </c>
      <c r="B82" s="2" t="s">
        <v>69</v>
      </c>
      <c r="C82" s="1">
        <f t="shared" ref="C82:H82" si="18">(C17-$C$64)/($C$63-$C$64)</f>
        <v>0.66666666666666663</v>
      </c>
      <c r="D82" s="1">
        <f t="shared" si="18"/>
        <v>0.33333333333333331</v>
      </c>
      <c r="E82" s="1">
        <f t="shared" si="18"/>
        <v>0</v>
      </c>
      <c r="F82" s="1">
        <f t="shared" si="18"/>
        <v>0.33333333333333331</v>
      </c>
      <c r="G82" s="1">
        <f t="shared" si="18"/>
        <v>0.33333333333333331</v>
      </c>
      <c r="H82" s="1">
        <f t="shared" si="18"/>
        <v>0.66666666666666663</v>
      </c>
    </row>
    <row r="83" spans="1:13" x14ac:dyDescent="0.35">
      <c r="A83" s="2">
        <v>17</v>
      </c>
      <c r="B83" s="2" t="s">
        <v>68</v>
      </c>
      <c r="C83" s="1">
        <f t="shared" ref="C83:H83" si="19">(C18-$C$64)/($C$63-$C$64)</f>
        <v>0.66666666666666663</v>
      </c>
      <c r="D83" s="1">
        <f t="shared" si="19"/>
        <v>0.33333333333333331</v>
      </c>
      <c r="E83" s="1">
        <f t="shared" si="19"/>
        <v>0.66666666666666663</v>
      </c>
      <c r="F83" s="1">
        <f t="shared" si="19"/>
        <v>0.33333333333333331</v>
      </c>
      <c r="G83" s="1">
        <f t="shared" si="19"/>
        <v>0.33333333333333331</v>
      </c>
      <c r="H83" s="1">
        <f t="shared" si="19"/>
        <v>0</v>
      </c>
    </row>
    <row r="84" spans="1:13" x14ac:dyDescent="0.35">
      <c r="A84" s="2">
        <v>18</v>
      </c>
      <c r="B84" s="2" t="s">
        <v>70</v>
      </c>
      <c r="C84" s="1">
        <f t="shared" ref="C84:H84" si="20">(C19-$C$64)/($C$63-$C$64)</f>
        <v>0.66666666666666663</v>
      </c>
      <c r="D84" s="1">
        <f t="shared" si="20"/>
        <v>0</v>
      </c>
      <c r="E84" s="1">
        <f t="shared" si="20"/>
        <v>0</v>
      </c>
      <c r="F84" s="1">
        <f t="shared" si="20"/>
        <v>0</v>
      </c>
      <c r="G84" s="1">
        <f t="shared" si="20"/>
        <v>1</v>
      </c>
      <c r="H84" s="1">
        <f t="shared" si="20"/>
        <v>0</v>
      </c>
    </row>
    <row r="85" spans="1:13" x14ac:dyDescent="0.35">
      <c r="A85" s="2">
        <v>19</v>
      </c>
      <c r="B85" s="2" t="s">
        <v>40</v>
      </c>
      <c r="C85" s="1">
        <f t="shared" ref="C85:H85" si="21">(C20-$C$64)/($C$63-$C$64)</f>
        <v>0</v>
      </c>
      <c r="D85" s="1">
        <f t="shared" si="21"/>
        <v>0.66666666666666663</v>
      </c>
      <c r="E85" s="1">
        <f t="shared" si="21"/>
        <v>0.33333333333333331</v>
      </c>
      <c r="F85" s="1">
        <f t="shared" si="21"/>
        <v>1</v>
      </c>
      <c r="G85" s="1">
        <f t="shared" si="21"/>
        <v>0</v>
      </c>
      <c r="H85" s="1">
        <f t="shared" si="21"/>
        <v>0</v>
      </c>
      <c r="L85" s="19" t="s">
        <v>109</v>
      </c>
    </row>
    <row r="86" spans="1:13" ht="15.5" x14ac:dyDescent="0.35">
      <c r="A86" s="2">
        <v>20</v>
      </c>
      <c r="B86" s="2" t="s">
        <v>78</v>
      </c>
      <c r="C86" s="1">
        <f t="shared" ref="C86:H86" si="22">(C21-$C$64)/($C$63-$C$64)</f>
        <v>0.33333333333333331</v>
      </c>
      <c r="D86" s="1">
        <f t="shared" si="22"/>
        <v>0.66666666666666663</v>
      </c>
      <c r="E86" s="1">
        <f t="shared" si="22"/>
        <v>0.33333333333333331</v>
      </c>
      <c r="F86" s="1">
        <f t="shared" si="22"/>
        <v>0.33333333333333331</v>
      </c>
      <c r="G86" s="1">
        <f t="shared" si="22"/>
        <v>1</v>
      </c>
      <c r="H86" s="1">
        <f t="shared" si="22"/>
        <v>0.33333333333333331</v>
      </c>
      <c r="L86" s="13" t="s">
        <v>83</v>
      </c>
      <c r="M86" s="1"/>
    </row>
    <row r="87" spans="1:13" x14ac:dyDescent="0.35">
      <c r="A87" s="2">
        <v>21</v>
      </c>
      <c r="B87" s="2" t="s">
        <v>60</v>
      </c>
      <c r="C87" s="1">
        <f t="shared" ref="C87:H87" si="23">(C22-$C$64)/($C$63-$C$64)</f>
        <v>1</v>
      </c>
      <c r="D87" s="1">
        <f t="shared" si="23"/>
        <v>0.66666666666666663</v>
      </c>
      <c r="E87" s="1">
        <f t="shared" si="23"/>
        <v>0</v>
      </c>
      <c r="F87" s="1">
        <f t="shared" si="23"/>
        <v>0.33333333333333331</v>
      </c>
      <c r="G87" s="1">
        <f t="shared" si="23"/>
        <v>0.66666666666666663</v>
      </c>
      <c r="H87" s="1">
        <f t="shared" si="23"/>
        <v>0.66666666666666663</v>
      </c>
      <c r="L87" s="16" t="s">
        <v>84</v>
      </c>
      <c r="M87" s="17" t="s">
        <v>14</v>
      </c>
    </row>
    <row r="88" spans="1:13" x14ac:dyDescent="0.35">
      <c r="A88" s="2">
        <v>22</v>
      </c>
      <c r="B88" s="2" t="s">
        <v>74</v>
      </c>
      <c r="C88" s="1">
        <f t="shared" ref="C88:H88" si="24">(C23-$C$64)/($C$63-$C$64)</f>
        <v>0.66666666666666663</v>
      </c>
      <c r="D88" s="1">
        <f t="shared" si="24"/>
        <v>0.33333333333333331</v>
      </c>
      <c r="E88" s="1">
        <f t="shared" si="24"/>
        <v>1</v>
      </c>
      <c r="F88" s="1">
        <f t="shared" si="24"/>
        <v>0</v>
      </c>
      <c r="G88" s="1">
        <f t="shared" si="24"/>
        <v>0</v>
      </c>
      <c r="H88" s="1">
        <f t="shared" si="24"/>
        <v>0.66666666666666663</v>
      </c>
      <c r="L88" s="15" t="s">
        <v>85</v>
      </c>
      <c r="M88" s="15">
        <v>1</v>
      </c>
    </row>
    <row r="89" spans="1:13" x14ac:dyDescent="0.35">
      <c r="A89" s="2">
        <v>23</v>
      </c>
      <c r="B89" s="2" t="s">
        <v>53</v>
      </c>
      <c r="C89" s="1">
        <f t="shared" ref="C89:H89" si="25">(C24-$C$64)/($C$63-$C$64)</f>
        <v>0.33333333333333331</v>
      </c>
      <c r="D89" s="1">
        <f t="shared" si="25"/>
        <v>0.66666666666666663</v>
      </c>
      <c r="E89" s="1">
        <f t="shared" si="25"/>
        <v>0</v>
      </c>
      <c r="F89" s="1">
        <f t="shared" si="25"/>
        <v>1</v>
      </c>
      <c r="G89" s="1">
        <f t="shared" si="25"/>
        <v>0.33333333333333331</v>
      </c>
      <c r="H89" s="1">
        <f t="shared" si="25"/>
        <v>0.66666666666666663</v>
      </c>
      <c r="L89" s="15" t="s">
        <v>86</v>
      </c>
      <c r="M89" s="15">
        <v>2</v>
      </c>
    </row>
    <row r="90" spans="1:13" x14ac:dyDescent="0.35">
      <c r="A90" s="2">
        <v>24</v>
      </c>
      <c r="B90" s="2" t="s">
        <v>34</v>
      </c>
      <c r="C90" s="1">
        <f t="shared" ref="C90:H90" si="26">(C25-$C$64)/($C$63-$C$64)</f>
        <v>0.33333333333333331</v>
      </c>
      <c r="D90" s="1">
        <f t="shared" si="26"/>
        <v>0.33333333333333331</v>
      </c>
      <c r="E90" s="1">
        <f t="shared" si="26"/>
        <v>0.33333333333333331</v>
      </c>
      <c r="F90" s="1">
        <f t="shared" si="26"/>
        <v>0.33333333333333331</v>
      </c>
      <c r="G90" s="1">
        <f t="shared" si="26"/>
        <v>0.33333333333333331</v>
      </c>
      <c r="H90" s="1">
        <f t="shared" si="26"/>
        <v>0.66666666666666663</v>
      </c>
      <c r="L90" s="15" t="s">
        <v>87</v>
      </c>
      <c r="M90" s="15">
        <v>3</v>
      </c>
    </row>
    <row r="91" spans="1:13" x14ac:dyDescent="0.35">
      <c r="A91" s="2">
        <v>25</v>
      </c>
      <c r="B91" s="2" t="s">
        <v>63</v>
      </c>
      <c r="C91" s="1">
        <f t="shared" ref="C91:H91" si="27">(C26-$C$64)/($C$63-$C$64)</f>
        <v>0</v>
      </c>
      <c r="D91" s="1">
        <f t="shared" si="27"/>
        <v>0.66666666666666663</v>
      </c>
      <c r="E91" s="1">
        <f t="shared" si="27"/>
        <v>0.33333333333333331</v>
      </c>
      <c r="F91" s="1">
        <f t="shared" si="27"/>
        <v>1</v>
      </c>
      <c r="G91" s="1">
        <f t="shared" si="27"/>
        <v>0</v>
      </c>
      <c r="H91" s="1">
        <f t="shared" si="27"/>
        <v>0.66666666666666663</v>
      </c>
      <c r="L91" s="15" t="s">
        <v>88</v>
      </c>
      <c r="M91" s="15">
        <v>4</v>
      </c>
    </row>
    <row r="92" spans="1:13" x14ac:dyDescent="0.35">
      <c r="A92" s="2">
        <v>26</v>
      </c>
      <c r="B92" s="2" t="s">
        <v>33</v>
      </c>
      <c r="C92" s="1">
        <f t="shared" ref="C92:H92" si="28">(C27-$C$64)/($C$63-$C$64)</f>
        <v>0.66666666666666663</v>
      </c>
      <c r="D92" s="1">
        <f t="shared" si="28"/>
        <v>0.66666666666666663</v>
      </c>
      <c r="E92" s="1">
        <f t="shared" si="28"/>
        <v>0.33333333333333331</v>
      </c>
      <c r="F92" s="1">
        <f t="shared" si="28"/>
        <v>0.66666666666666663</v>
      </c>
      <c r="G92" s="1">
        <f t="shared" si="28"/>
        <v>0</v>
      </c>
      <c r="H92" s="1">
        <f t="shared" si="28"/>
        <v>0.66666666666666663</v>
      </c>
    </row>
    <row r="93" spans="1:13" ht="15.5" x14ac:dyDescent="0.35">
      <c r="A93" s="2">
        <v>27</v>
      </c>
      <c r="B93" s="2" t="s">
        <v>55</v>
      </c>
      <c r="C93" s="1">
        <f t="shared" ref="C93:H93" si="29">(C28-$C$64)/($C$63-$C$64)</f>
        <v>0.33333333333333331</v>
      </c>
      <c r="D93" s="1">
        <f t="shared" si="29"/>
        <v>0.66666666666666663</v>
      </c>
      <c r="E93" s="1">
        <f t="shared" si="29"/>
        <v>0.33333333333333331</v>
      </c>
      <c r="F93" s="1">
        <f t="shared" si="29"/>
        <v>1</v>
      </c>
      <c r="G93" s="1">
        <f t="shared" si="29"/>
        <v>0</v>
      </c>
      <c r="H93" s="1">
        <f t="shared" si="29"/>
        <v>0</v>
      </c>
      <c r="L93" s="13" t="s">
        <v>89</v>
      </c>
      <c r="M93" s="1"/>
    </row>
    <row r="94" spans="1:13" x14ac:dyDescent="0.35">
      <c r="A94" s="2">
        <v>28</v>
      </c>
      <c r="B94" s="2" t="s">
        <v>61</v>
      </c>
      <c r="C94" s="1">
        <f t="shared" ref="C94:H94" si="30">(C29-$C$64)/($C$63-$C$64)</f>
        <v>0</v>
      </c>
      <c r="D94" s="1">
        <f t="shared" si="30"/>
        <v>0.33333333333333331</v>
      </c>
      <c r="E94" s="1">
        <f t="shared" si="30"/>
        <v>0.33333333333333331</v>
      </c>
      <c r="F94" s="1">
        <f t="shared" si="30"/>
        <v>1</v>
      </c>
      <c r="G94" s="1">
        <f t="shared" si="30"/>
        <v>0</v>
      </c>
      <c r="H94" s="1">
        <f t="shared" si="30"/>
        <v>0</v>
      </c>
      <c r="L94" s="18" t="s">
        <v>90</v>
      </c>
      <c r="M94" s="18" t="s">
        <v>14</v>
      </c>
    </row>
    <row r="95" spans="1:13" x14ac:dyDescent="0.35">
      <c r="A95" s="2">
        <v>29</v>
      </c>
      <c r="B95" s="2" t="s">
        <v>29</v>
      </c>
      <c r="C95" s="1">
        <f t="shared" ref="C95:H95" si="31">(C30-$C$64)/($C$63-$C$64)</f>
        <v>0.66666666666666663</v>
      </c>
      <c r="D95" s="1">
        <f t="shared" si="31"/>
        <v>0.66666666666666663</v>
      </c>
      <c r="E95" s="1">
        <f t="shared" si="31"/>
        <v>0.66666666666666663</v>
      </c>
      <c r="F95" s="1">
        <f t="shared" si="31"/>
        <v>0.33333333333333331</v>
      </c>
      <c r="G95" s="1">
        <f t="shared" si="31"/>
        <v>0</v>
      </c>
      <c r="H95" s="1">
        <f t="shared" si="31"/>
        <v>0.33333333333333331</v>
      </c>
      <c r="L95" s="15" t="s">
        <v>91</v>
      </c>
      <c r="M95" s="15">
        <v>1</v>
      </c>
    </row>
    <row r="96" spans="1:13" x14ac:dyDescent="0.35">
      <c r="A96" s="2">
        <v>30</v>
      </c>
      <c r="B96" s="2" t="s">
        <v>31</v>
      </c>
      <c r="C96" s="1">
        <f t="shared" ref="C96:H96" si="32">(C31-$C$64)/($C$63-$C$64)</f>
        <v>0</v>
      </c>
      <c r="D96" s="1">
        <f t="shared" si="32"/>
        <v>0.66666666666666663</v>
      </c>
      <c r="E96" s="1">
        <f t="shared" si="32"/>
        <v>0.33333333333333331</v>
      </c>
      <c r="F96" s="1">
        <f t="shared" si="32"/>
        <v>0.33333333333333331</v>
      </c>
      <c r="G96" s="1">
        <f t="shared" si="32"/>
        <v>0</v>
      </c>
      <c r="H96" s="1">
        <f t="shared" si="32"/>
        <v>0.33333333333333331</v>
      </c>
      <c r="L96" s="15" t="s">
        <v>92</v>
      </c>
      <c r="M96" s="15">
        <v>2</v>
      </c>
    </row>
    <row r="97" spans="1:13" x14ac:dyDescent="0.35">
      <c r="A97" s="2">
        <v>31</v>
      </c>
      <c r="B97" s="2" t="s">
        <v>22</v>
      </c>
      <c r="C97" s="1">
        <f t="shared" ref="C97:H97" si="33">(C32-$C$64)/($C$63-$C$64)</f>
        <v>0.66666666666666663</v>
      </c>
      <c r="D97" s="1">
        <f t="shared" si="33"/>
        <v>1</v>
      </c>
      <c r="E97" s="1">
        <f t="shared" si="33"/>
        <v>0.33333333333333331</v>
      </c>
      <c r="F97" s="1">
        <f t="shared" si="33"/>
        <v>0</v>
      </c>
      <c r="G97" s="1">
        <f t="shared" si="33"/>
        <v>0</v>
      </c>
      <c r="H97" s="1">
        <f t="shared" si="33"/>
        <v>0</v>
      </c>
      <c r="L97" s="15" t="s">
        <v>93</v>
      </c>
      <c r="M97" s="15">
        <v>3</v>
      </c>
    </row>
    <row r="98" spans="1:13" x14ac:dyDescent="0.35">
      <c r="A98" s="2">
        <v>32</v>
      </c>
      <c r="B98" s="2" t="s">
        <v>62</v>
      </c>
      <c r="C98" s="1">
        <f t="shared" ref="C98:H98" si="34">(C33-$C$64)/($C$63-$C$64)</f>
        <v>0.33333333333333331</v>
      </c>
      <c r="D98" s="1">
        <f t="shared" si="34"/>
        <v>0</v>
      </c>
      <c r="E98" s="1">
        <f t="shared" si="34"/>
        <v>0.66666666666666663</v>
      </c>
      <c r="F98" s="1">
        <f t="shared" si="34"/>
        <v>0</v>
      </c>
      <c r="G98" s="1">
        <f t="shared" si="34"/>
        <v>0</v>
      </c>
      <c r="H98" s="1">
        <f t="shared" si="34"/>
        <v>0</v>
      </c>
      <c r="L98" s="15" t="s">
        <v>94</v>
      </c>
      <c r="M98" s="15">
        <v>4</v>
      </c>
    </row>
    <row r="99" spans="1:13" x14ac:dyDescent="0.35">
      <c r="A99" s="2">
        <v>33</v>
      </c>
      <c r="B99" s="2" t="s">
        <v>77</v>
      </c>
      <c r="C99" s="1">
        <f t="shared" ref="C99:H99" si="35">(C34-$C$64)/($C$63-$C$64)</f>
        <v>0.33333333333333331</v>
      </c>
      <c r="D99" s="1">
        <f t="shared" si="35"/>
        <v>0.66666666666666663</v>
      </c>
      <c r="E99" s="1">
        <f t="shared" si="35"/>
        <v>0</v>
      </c>
      <c r="F99" s="1">
        <f t="shared" si="35"/>
        <v>0.66666666666666663</v>
      </c>
      <c r="G99" s="1">
        <f t="shared" si="35"/>
        <v>0</v>
      </c>
      <c r="H99" s="1">
        <f t="shared" si="35"/>
        <v>0</v>
      </c>
    </row>
    <row r="100" spans="1:13" ht="15.5" x14ac:dyDescent="0.35">
      <c r="A100" s="2">
        <v>34</v>
      </c>
      <c r="B100" s="2" t="s">
        <v>29</v>
      </c>
      <c r="C100" s="1">
        <f t="shared" ref="C100:H100" si="36">(C35-$C$64)/($C$63-$C$64)</f>
        <v>0.33333333333333331</v>
      </c>
      <c r="D100" s="1">
        <f t="shared" si="36"/>
        <v>0.66666666666666663</v>
      </c>
      <c r="E100" s="1">
        <f t="shared" si="36"/>
        <v>0.66666666666666663</v>
      </c>
      <c r="F100" s="1">
        <f t="shared" si="36"/>
        <v>1</v>
      </c>
      <c r="G100" s="1">
        <f t="shared" si="36"/>
        <v>0.66666666666666663</v>
      </c>
      <c r="H100" s="1">
        <f t="shared" si="36"/>
        <v>0</v>
      </c>
      <c r="L100" s="12"/>
    </row>
    <row r="101" spans="1:13" x14ac:dyDescent="0.35">
      <c r="A101" s="2">
        <v>35</v>
      </c>
      <c r="B101" s="2" t="s">
        <v>58</v>
      </c>
      <c r="C101" s="1">
        <f t="shared" ref="C101:H101" si="37">(C36-$C$64)/($C$63-$C$64)</f>
        <v>0.66666666666666663</v>
      </c>
      <c r="D101" s="1">
        <f t="shared" si="37"/>
        <v>0.33333333333333331</v>
      </c>
      <c r="E101" s="1">
        <f t="shared" si="37"/>
        <v>0.33333333333333331</v>
      </c>
      <c r="F101" s="1">
        <f t="shared" si="37"/>
        <v>1</v>
      </c>
      <c r="G101" s="1">
        <f t="shared" si="37"/>
        <v>0.33333333333333331</v>
      </c>
      <c r="H101" s="1">
        <f t="shared" si="37"/>
        <v>0.33333333333333331</v>
      </c>
      <c r="L101" s="20" t="s">
        <v>95</v>
      </c>
      <c r="M101" s="1"/>
    </row>
    <row r="102" spans="1:13" x14ac:dyDescent="0.35">
      <c r="A102" s="2">
        <v>36</v>
      </c>
      <c r="B102" s="2" t="s">
        <v>71</v>
      </c>
      <c r="C102" s="1">
        <f t="shared" ref="C102:H102" si="38">(C37-$C$64)/($C$63-$C$64)</f>
        <v>0.33333333333333331</v>
      </c>
      <c r="D102" s="1">
        <f t="shared" si="38"/>
        <v>0.33333333333333331</v>
      </c>
      <c r="E102" s="1">
        <f t="shared" si="38"/>
        <v>0.66666666666666663</v>
      </c>
      <c r="F102" s="1">
        <f t="shared" si="38"/>
        <v>0.66666666666666663</v>
      </c>
      <c r="G102" s="1">
        <f t="shared" si="38"/>
        <v>0.33333333333333331</v>
      </c>
      <c r="H102" s="1">
        <f t="shared" si="38"/>
        <v>0</v>
      </c>
      <c r="L102" s="18" t="s">
        <v>96</v>
      </c>
      <c r="M102" s="18" t="s">
        <v>14</v>
      </c>
    </row>
    <row r="103" spans="1:13" x14ac:dyDescent="0.35">
      <c r="A103" s="2">
        <v>37</v>
      </c>
      <c r="B103" s="2" t="s">
        <v>39</v>
      </c>
      <c r="C103" s="1">
        <f t="shared" ref="C103:H103" si="39">(C38-$C$64)/($C$63-$C$64)</f>
        <v>0.66666666666666663</v>
      </c>
      <c r="D103" s="1">
        <f t="shared" si="39"/>
        <v>0.33333333333333331</v>
      </c>
      <c r="E103" s="1">
        <f t="shared" si="39"/>
        <v>1</v>
      </c>
      <c r="F103" s="1">
        <f t="shared" si="39"/>
        <v>0.66666666666666663</v>
      </c>
      <c r="G103" s="1">
        <f t="shared" si="39"/>
        <v>0</v>
      </c>
      <c r="H103" s="1">
        <f t="shared" si="39"/>
        <v>0</v>
      </c>
      <c r="L103" s="15" t="s">
        <v>21</v>
      </c>
      <c r="M103" s="15">
        <v>1</v>
      </c>
    </row>
    <row r="104" spans="1:13" x14ac:dyDescent="0.35">
      <c r="A104" s="2">
        <v>38</v>
      </c>
      <c r="B104" s="2" t="s">
        <v>59</v>
      </c>
      <c r="C104" s="1">
        <f t="shared" ref="C104:H104" si="40">(C39-$C$64)/($C$63-$C$64)</f>
        <v>0.33333333333333331</v>
      </c>
      <c r="D104" s="1">
        <f t="shared" si="40"/>
        <v>1</v>
      </c>
      <c r="E104" s="1">
        <f t="shared" si="40"/>
        <v>0.33333333333333331</v>
      </c>
      <c r="F104" s="1">
        <f t="shared" si="40"/>
        <v>0.33333333333333331</v>
      </c>
      <c r="G104" s="1">
        <f t="shared" si="40"/>
        <v>0.33333333333333331</v>
      </c>
      <c r="H104" s="1">
        <f t="shared" si="40"/>
        <v>0</v>
      </c>
      <c r="L104" s="15" t="s">
        <v>23</v>
      </c>
      <c r="M104" s="15">
        <v>2</v>
      </c>
    </row>
    <row r="105" spans="1:13" x14ac:dyDescent="0.35">
      <c r="A105" s="2">
        <v>39</v>
      </c>
      <c r="B105" s="2" t="s">
        <v>19</v>
      </c>
      <c r="C105" s="1">
        <f t="shared" ref="C105:H105" si="41">(C40-$C$64)/($C$63-$C$64)</f>
        <v>0.33333333333333331</v>
      </c>
      <c r="D105" s="1">
        <f t="shared" si="41"/>
        <v>0</v>
      </c>
      <c r="E105" s="1">
        <f t="shared" si="41"/>
        <v>0.66666666666666663</v>
      </c>
      <c r="F105" s="1">
        <f t="shared" si="41"/>
        <v>0</v>
      </c>
      <c r="G105" s="1">
        <f t="shared" si="41"/>
        <v>0</v>
      </c>
      <c r="H105" s="1">
        <f t="shared" si="41"/>
        <v>0</v>
      </c>
      <c r="L105" s="15" t="s">
        <v>18</v>
      </c>
      <c r="M105" s="15">
        <v>3</v>
      </c>
    </row>
    <row r="106" spans="1:13" x14ac:dyDescent="0.35">
      <c r="A106" s="2">
        <v>40</v>
      </c>
      <c r="B106" s="2" t="s">
        <v>43</v>
      </c>
      <c r="C106" s="1">
        <f t="shared" ref="C106:H106" si="42">(C41-$C$64)/($C$63-$C$64)</f>
        <v>0.33333333333333331</v>
      </c>
      <c r="D106" s="1">
        <f t="shared" si="42"/>
        <v>0.33333333333333331</v>
      </c>
      <c r="E106" s="1">
        <f t="shared" si="42"/>
        <v>0.33333333333333331</v>
      </c>
      <c r="F106" s="1">
        <f t="shared" si="42"/>
        <v>1</v>
      </c>
      <c r="G106" s="1">
        <f t="shared" si="42"/>
        <v>0.33333333333333331</v>
      </c>
      <c r="H106" s="1">
        <f t="shared" si="42"/>
        <v>0</v>
      </c>
      <c r="L106" s="15" t="s">
        <v>27</v>
      </c>
      <c r="M106" s="15">
        <v>4</v>
      </c>
    </row>
    <row r="107" spans="1:13" x14ac:dyDescent="0.35">
      <c r="A107" s="2">
        <v>41</v>
      </c>
      <c r="B107" s="2" t="s">
        <v>54</v>
      </c>
      <c r="C107" s="1">
        <f t="shared" ref="C107:H107" si="43">(C42-$C$64)/($C$63-$C$64)</f>
        <v>0.33333333333333331</v>
      </c>
      <c r="D107" s="1">
        <f t="shared" si="43"/>
        <v>0.66666666666666663</v>
      </c>
      <c r="E107" s="1">
        <f t="shared" si="43"/>
        <v>0.66666666666666663</v>
      </c>
      <c r="F107" s="1">
        <f t="shared" si="43"/>
        <v>0.66666666666666663</v>
      </c>
      <c r="G107" s="1">
        <f t="shared" si="43"/>
        <v>1</v>
      </c>
      <c r="H107" s="1">
        <f t="shared" si="43"/>
        <v>0</v>
      </c>
    </row>
    <row r="108" spans="1:13" ht="15.5" x14ac:dyDescent="0.35">
      <c r="A108" s="2">
        <v>42</v>
      </c>
      <c r="B108" s="2" t="s">
        <v>72</v>
      </c>
      <c r="C108" s="1">
        <f t="shared" ref="C108:H108" si="44">(C43-$C$64)/($C$63-$C$64)</f>
        <v>0.33333333333333331</v>
      </c>
      <c r="D108" s="1">
        <f t="shared" si="44"/>
        <v>0</v>
      </c>
      <c r="E108" s="1">
        <f t="shared" si="44"/>
        <v>0</v>
      </c>
      <c r="F108" s="1">
        <f t="shared" si="44"/>
        <v>1</v>
      </c>
      <c r="G108" s="1">
        <f t="shared" si="44"/>
        <v>0</v>
      </c>
      <c r="H108" s="1">
        <f t="shared" si="44"/>
        <v>0</v>
      </c>
      <c r="L108" s="13" t="s">
        <v>97</v>
      </c>
      <c r="M108" s="1"/>
    </row>
    <row r="109" spans="1:13" x14ac:dyDescent="0.35">
      <c r="A109" s="2">
        <v>43</v>
      </c>
      <c r="B109" s="2" t="s">
        <v>57</v>
      </c>
      <c r="C109" s="1">
        <f t="shared" ref="C109:H109" si="45">(C44-$C$64)/($C$63-$C$64)</f>
        <v>0.66666666666666663</v>
      </c>
      <c r="D109" s="1">
        <f t="shared" si="45"/>
        <v>0.33333333333333331</v>
      </c>
      <c r="E109" s="1">
        <f t="shared" si="45"/>
        <v>1</v>
      </c>
      <c r="F109" s="1">
        <f t="shared" si="45"/>
        <v>1</v>
      </c>
      <c r="G109" s="1">
        <f t="shared" si="45"/>
        <v>0.66666666666666663</v>
      </c>
      <c r="H109" s="1">
        <f t="shared" si="45"/>
        <v>0</v>
      </c>
      <c r="L109" s="18" t="s">
        <v>98</v>
      </c>
      <c r="M109" s="18" t="s">
        <v>14</v>
      </c>
    </row>
    <row r="110" spans="1:13" x14ac:dyDescent="0.35">
      <c r="A110" s="2">
        <v>44</v>
      </c>
      <c r="B110" s="2" t="s">
        <v>64</v>
      </c>
      <c r="C110" s="1">
        <f t="shared" ref="C110:H110" si="46">(C45-$C$64)/($C$63-$C$64)</f>
        <v>0.33333333333333331</v>
      </c>
      <c r="D110" s="1">
        <f t="shared" si="46"/>
        <v>0.66666666666666663</v>
      </c>
      <c r="E110" s="1">
        <f t="shared" si="46"/>
        <v>0.66666666666666663</v>
      </c>
      <c r="F110" s="1">
        <f t="shared" si="46"/>
        <v>0.66666666666666663</v>
      </c>
      <c r="G110" s="1">
        <f t="shared" si="46"/>
        <v>0.66666666666666663</v>
      </c>
      <c r="H110" s="1">
        <f t="shared" si="46"/>
        <v>0</v>
      </c>
      <c r="L110" s="15" t="s">
        <v>99</v>
      </c>
      <c r="M110" s="15">
        <v>1</v>
      </c>
    </row>
    <row r="111" spans="1:13" x14ac:dyDescent="0.35">
      <c r="A111" s="2">
        <v>45</v>
      </c>
      <c r="B111" s="2" t="s">
        <v>41</v>
      </c>
      <c r="C111" s="1">
        <f t="shared" ref="C111:H111" si="47">(C46-$C$64)/($C$63-$C$64)</f>
        <v>0.33333333333333331</v>
      </c>
      <c r="D111" s="1">
        <f t="shared" si="47"/>
        <v>1</v>
      </c>
      <c r="E111" s="1">
        <f t="shared" si="47"/>
        <v>0.66666666666666663</v>
      </c>
      <c r="F111" s="1">
        <f t="shared" si="47"/>
        <v>0.66666666666666663</v>
      </c>
      <c r="G111" s="1">
        <f t="shared" si="47"/>
        <v>0.66666666666666663</v>
      </c>
      <c r="H111" s="1">
        <f t="shared" si="47"/>
        <v>0</v>
      </c>
      <c r="L111" s="15" t="s">
        <v>100</v>
      </c>
      <c r="M111" s="15">
        <v>2</v>
      </c>
    </row>
    <row r="112" spans="1:13" x14ac:dyDescent="0.35">
      <c r="A112" s="2">
        <v>46</v>
      </c>
      <c r="B112" s="2" t="s">
        <v>37</v>
      </c>
      <c r="C112" s="1">
        <f t="shared" ref="C112:H112" si="48">(C47-$C$64)/($C$63-$C$64)</f>
        <v>0.66666666666666663</v>
      </c>
      <c r="D112" s="1">
        <f t="shared" si="48"/>
        <v>0.33333333333333331</v>
      </c>
      <c r="E112" s="1">
        <f t="shared" si="48"/>
        <v>0.33333333333333331</v>
      </c>
      <c r="F112" s="1">
        <f t="shared" si="48"/>
        <v>0.66666666666666663</v>
      </c>
      <c r="G112" s="1">
        <f t="shared" si="48"/>
        <v>0.66666666666666663</v>
      </c>
      <c r="H112" s="1">
        <f t="shared" si="48"/>
        <v>0.66666666666666663</v>
      </c>
      <c r="L112" s="15" t="s">
        <v>101</v>
      </c>
      <c r="M112" s="15">
        <v>3</v>
      </c>
    </row>
    <row r="113" spans="1:13" x14ac:dyDescent="0.35">
      <c r="A113" s="2">
        <v>47</v>
      </c>
      <c r="B113" s="2" t="s">
        <v>20</v>
      </c>
      <c r="C113" s="1">
        <f t="shared" ref="C113:H113" si="49">(C48-$C$64)/($C$63-$C$64)</f>
        <v>0.66666666666666663</v>
      </c>
      <c r="D113" s="1">
        <f t="shared" si="49"/>
        <v>1</v>
      </c>
      <c r="E113" s="1">
        <f t="shared" si="49"/>
        <v>0</v>
      </c>
      <c r="F113" s="1">
        <f t="shared" si="49"/>
        <v>1</v>
      </c>
      <c r="G113" s="1">
        <f t="shared" si="49"/>
        <v>1</v>
      </c>
      <c r="H113" s="1">
        <f t="shared" si="49"/>
        <v>0</v>
      </c>
      <c r="L113" s="15" t="s">
        <v>102</v>
      </c>
      <c r="M113" s="15">
        <v>4</v>
      </c>
    </row>
    <row r="114" spans="1:13" x14ac:dyDescent="0.35">
      <c r="A114" s="2">
        <v>48</v>
      </c>
      <c r="B114" s="2" t="s">
        <v>75</v>
      </c>
      <c r="C114" s="1">
        <f t="shared" ref="C114:H114" si="50">(C49-$C$64)/($C$63-$C$64)</f>
        <v>0.33333333333333331</v>
      </c>
      <c r="D114" s="1">
        <f t="shared" si="50"/>
        <v>0.66666666666666663</v>
      </c>
      <c r="E114" s="1">
        <f t="shared" si="50"/>
        <v>0</v>
      </c>
      <c r="F114" s="1">
        <f t="shared" si="50"/>
        <v>1</v>
      </c>
      <c r="G114" s="1">
        <f t="shared" si="50"/>
        <v>0</v>
      </c>
      <c r="H114" s="1">
        <f t="shared" si="50"/>
        <v>0</v>
      </c>
    </row>
    <row r="115" spans="1:13" ht="15.5" x14ac:dyDescent="0.35">
      <c r="A115" s="2">
        <v>49</v>
      </c>
      <c r="B115" s="2" t="s">
        <v>56</v>
      </c>
      <c r="C115" s="1">
        <f t="shared" ref="C115:H115" si="51">(C50-$C$64)/($C$63-$C$64)</f>
        <v>0.33333333333333331</v>
      </c>
      <c r="D115" s="1">
        <f t="shared" si="51"/>
        <v>0.66666666666666663</v>
      </c>
      <c r="E115" s="1">
        <f t="shared" si="51"/>
        <v>0.66666666666666663</v>
      </c>
      <c r="F115" s="1">
        <f t="shared" si="51"/>
        <v>0</v>
      </c>
      <c r="G115" s="1">
        <f t="shared" si="51"/>
        <v>0</v>
      </c>
      <c r="H115" s="1">
        <f t="shared" si="51"/>
        <v>0</v>
      </c>
      <c r="L115" s="13" t="s">
        <v>103</v>
      </c>
      <c r="M115" s="1"/>
    </row>
    <row r="116" spans="1:13" x14ac:dyDescent="0.35">
      <c r="A116" s="2">
        <v>50</v>
      </c>
      <c r="B116" s="2" t="s">
        <v>50</v>
      </c>
      <c r="C116" s="1">
        <f t="shared" ref="C116:H116" si="52">(C51-$C$64)/($C$63-$C$64)</f>
        <v>0.33333333333333331</v>
      </c>
      <c r="D116" s="1">
        <f t="shared" si="52"/>
        <v>0.66666666666666663</v>
      </c>
      <c r="E116" s="1">
        <f t="shared" si="52"/>
        <v>0.66666666666666663</v>
      </c>
      <c r="F116" s="1">
        <f t="shared" si="52"/>
        <v>1</v>
      </c>
      <c r="G116" s="1">
        <f t="shared" si="52"/>
        <v>1</v>
      </c>
      <c r="H116" s="1">
        <f t="shared" si="52"/>
        <v>1</v>
      </c>
      <c r="L116" s="14" t="s">
        <v>104</v>
      </c>
      <c r="M116" s="14" t="s">
        <v>14</v>
      </c>
    </row>
    <row r="117" spans="1:13" x14ac:dyDescent="0.35">
      <c r="A117" s="2">
        <v>51</v>
      </c>
      <c r="B117" s="2" t="s">
        <v>67</v>
      </c>
      <c r="C117" s="1">
        <f t="shared" ref="C117:H117" si="53">(C52-$C$64)/($C$63-$C$64)</f>
        <v>0.66666666666666663</v>
      </c>
      <c r="D117" s="1">
        <f t="shared" si="53"/>
        <v>0.66666666666666663</v>
      </c>
      <c r="E117" s="1">
        <f t="shared" si="53"/>
        <v>0.33333333333333331</v>
      </c>
      <c r="F117" s="1">
        <f t="shared" si="53"/>
        <v>0.33333333333333331</v>
      </c>
      <c r="G117" s="1">
        <f t="shared" si="53"/>
        <v>0.66666666666666663</v>
      </c>
      <c r="H117" s="1">
        <f t="shared" si="53"/>
        <v>0</v>
      </c>
      <c r="L117" s="15" t="s">
        <v>99</v>
      </c>
      <c r="M117" s="15">
        <v>1</v>
      </c>
    </row>
    <row r="118" spans="1:13" x14ac:dyDescent="0.35">
      <c r="A118" s="2">
        <v>52</v>
      </c>
      <c r="B118" s="2" t="s">
        <v>44</v>
      </c>
      <c r="C118" s="1">
        <f t="shared" ref="C118:H118" si="54">(C53-$C$64)/($C$63-$C$64)</f>
        <v>0.33333333333333331</v>
      </c>
      <c r="D118" s="1">
        <f t="shared" si="54"/>
        <v>0</v>
      </c>
      <c r="E118" s="1">
        <f t="shared" si="54"/>
        <v>1</v>
      </c>
      <c r="F118" s="1">
        <f t="shared" si="54"/>
        <v>0</v>
      </c>
      <c r="G118" s="1">
        <f t="shared" si="54"/>
        <v>1</v>
      </c>
      <c r="H118" s="1">
        <f t="shared" si="54"/>
        <v>0</v>
      </c>
      <c r="L118" s="15" t="s">
        <v>100</v>
      </c>
      <c r="M118" s="15">
        <v>2</v>
      </c>
    </row>
    <row r="119" spans="1:13" x14ac:dyDescent="0.35">
      <c r="A119" s="2">
        <v>53</v>
      </c>
      <c r="B119" s="2" t="s">
        <v>47</v>
      </c>
      <c r="C119" s="1">
        <f t="shared" ref="C119:H119" si="55">(C54-$C$64)/($C$63-$C$64)</f>
        <v>0.33333333333333331</v>
      </c>
      <c r="D119" s="1">
        <f t="shared" si="55"/>
        <v>0.66666666666666663</v>
      </c>
      <c r="E119" s="1">
        <f t="shared" si="55"/>
        <v>0</v>
      </c>
      <c r="F119" s="1">
        <f t="shared" si="55"/>
        <v>1</v>
      </c>
      <c r="G119" s="1">
        <f t="shared" si="55"/>
        <v>0</v>
      </c>
      <c r="H119" s="1">
        <f t="shared" si="55"/>
        <v>0</v>
      </c>
      <c r="L119" s="15" t="s">
        <v>101</v>
      </c>
      <c r="M119" s="15">
        <v>3</v>
      </c>
    </row>
    <row r="120" spans="1:13" x14ac:dyDescent="0.35">
      <c r="A120" s="2">
        <v>54</v>
      </c>
      <c r="B120" s="2" t="s">
        <v>30</v>
      </c>
      <c r="C120" s="1">
        <f t="shared" ref="C120:H120" si="56">(C55-$C$64)/($C$63-$C$64)</f>
        <v>0.33333333333333331</v>
      </c>
      <c r="D120" s="1">
        <f t="shared" si="56"/>
        <v>0</v>
      </c>
      <c r="E120" s="1">
        <f t="shared" si="56"/>
        <v>1</v>
      </c>
      <c r="F120" s="1">
        <f t="shared" si="56"/>
        <v>0.66666666666666663</v>
      </c>
      <c r="G120" s="1">
        <f t="shared" si="56"/>
        <v>0.66666666666666663</v>
      </c>
      <c r="H120" s="1">
        <f t="shared" si="56"/>
        <v>0</v>
      </c>
      <c r="L120" s="15" t="s">
        <v>102</v>
      </c>
      <c r="M120" s="15">
        <v>4</v>
      </c>
    </row>
    <row r="121" spans="1:13" x14ac:dyDescent="0.35">
      <c r="A121" s="2">
        <v>55</v>
      </c>
      <c r="B121" s="2" t="s">
        <v>65</v>
      </c>
      <c r="C121" s="1">
        <f t="shared" ref="C121:H121" si="57">(C56-$C$64)/($C$63-$C$64)</f>
        <v>0.66666666666666663</v>
      </c>
      <c r="D121" s="1">
        <f t="shared" si="57"/>
        <v>0.66666666666666663</v>
      </c>
      <c r="E121" s="1">
        <f t="shared" si="57"/>
        <v>0.66666666666666663</v>
      </c>
      <c r="F121" s="1">
        <f t="shared" si="57"/>
        <v>0.66666666666666663</v>
      </c>
      <c r="G121" s="1">
        <f t="shared" si="57"/>
        <v>0.66666666666666663</v>
      </c>
      <c r="H121" s="1">
        <f t="shared" si="57"/>
        <v>0</v>
      </c>
    </row>
    <row r="122" spans="1:13" ht="15.5" x14ac:dyDescent="0.35">
      <c r="A122" s="2">
        <v>56</v>
      </c>
      <c r="B122" s="2" t="s">
        <v>79</v>
      </c>
      <c r="C122" s="1">
        <f t="shared" ref="C122:H122" si="58">(C57-$C$64)/($C$63-$C$64)</f>
        <v>0.33333333333333331</v>
      </c>
      <c r="D122" s="1">
        <f t="shared" si="58"/>
        <v>0.66666666666666663</v>
      </c>
      <c r="E122" s="1">
        <f t="shared" si="58"/>
        <v>0</v>
      </c>
      <c r="F122" s="1">
        <f t="shared" si="58"/>
        <v>0</v>
      </c>
      <c r="G122" s="1">
        <f t="shared" si="58"/>
        <v>0</v>
      </c>
      <c r="H122" s="1">
        <f t="shared" si="58"/>
        <v>0</v>
      </c>
      <c r="L122" s="13" t="s">
        <v>105</v>
      </c>
      <c r="M122" s="1"/>
    </row>
    <row r="123" spans="1:13" x14ac:dyDescent="0.35">
      <c r="A123" s="2">
        <v>57</v>
      </c>
      <c r="B123" s="2" t="s">
        <v>38</v>
      </c>
      <c r="C123" s="1">
        <f t="shared" ref="C123:H123" si="59">(C58-$C$64)/($C$63-$C$64)</f>
        <v>0.66666666666666663</v>
      </c>
      <c r="D123" s="1">
        <f t="shared" si="59"/>
        <v>0.66666666666666663</v>
      </c>
      <c r="E123" s="1">
        <f t="shared" si="59"/>
        <v>0.66666666666666663</v>
      </c>
      <c r="F123" s="1">
        <f t="shared" si="59"/>
        <v>1</v>
      </c>
      <c r="G123" s="1">
        <f t="shared" si="59"/>
        <v>0</v>
      </c>
      <c r="H123" s="1">
        <f t="shared" si="59"/>
        <v>0</v>
      </c>
      <c r="L123" s="18" t="s">
        <v>106</v>
      </c>
      <c r="M123" s="18" t="s">
        <v>14</v>
      </c>
    </row>
    <row r="124" spans="1:13" x14ac:dyDescent="0.35">
      <c r="A124" s="2">
        <v>58</v>
      </c>
      <c r="B124" s="2" t="s">
        <v>73</v>
      </c>
      <c r="C124" s="1">
        <f t="shared" ref="C124:H124" si="60">(C59-$C$64)/($C$63-$C$64)</f>
        <v>0.33333333333333331</v>
      </c>
      <c r="D124" s="1">
        <f t="shared" si="60"/>
        <v>0</v>
      </c>
      <c r="E124" s="1">
        <f t="shared" si="60"/>
        <v>0.66666666666666663</v>
      </c>
      <c r="F124" s="1">
        <f t="shared" si="60"/>
        <v>0</v>
      </c>
      <c r="G124" s="1">
        <f t="shared" si="60"/>
        <v>0</v>
      </c>
      <c r="H124" s="1">
        <f t="shared" si="60"/>
        <v>1</v>
      </c>
      <c r="L124" s="15" t="s">
        <v>99</v>
      </c>
      <c r="M124" s="15">
        <v>1</v>
      </c>
    </row>
    <row r="125" spans="1:13" x14ac:dyDescent="0.35">
      <c r="A125" s="2">
        <v>59</v>
      </c>
      <c r="B125" s="2" t="s">
        <v>36</v>
      </c>
      <c r="C125" s="1">
        <f t="shared" ref="C125:H125" si="61">(C60-$C$64)/($C$63-$C$64)</f>
        <v>0.33333333333333331</v>
      </c>
      <c r="D125" s="1">
        <f t="shared" si="61"/>
        <v>0</v>
      </c>
      <c r="E125" s="1">
        <f t="shared" si="61"/>
        <v>0.33333333333333331</v>
      </c>
      <c r="F125" s="1">
        <f t="shared" si="61"/>
        <v>0</v>
      </c>
      <c r="G125" s="1">
        <f t="shared" si="61"/>
        <v>1</v>
      </c>
      <c r="H125" s="1">
        <f t="shared" si="61"/>
        <v>1</v>
      </c>
      <c r="L125" s="15" t="s">
        <v>100</v>
      </c>
      <c r="M125" s="15">
        <v>2</v>
      </c>
    </row>
    <row r="126" spans="1:13" x14ac:dyDescent="0.35">
      <c r="A126" s="2">
        <v>60</v>
      </c>
      <c r="B126" s="2" t="s">
        <v>28</v>
      </c>
      <c r="C126" s="1">
        <f t="shared" ref="C126:H126" si="62">(C61-$C$64)/($C$63-$C$64)</f>
        <v>0</v>
      </c>
      <c r="D126" s="1">
        <f t="shared" si="62"/>
        <v>1</v>
      </c>
      <c r="E126" s="1">
        <f t="shared" si="62"/>
        <v>0</v>
      </c>
      <c r="F126" s="1">
        <f t="shared" si="62"/>
        <v>1</v>
      </c>
      <c r="G126" s="1">
        <f t="shared" si="62"/>
        <v>1</v>
      </c>
      <c r="H126" s="1">
        <f t="shared" si="62"/>
        <v>0.33333333333333331</v>
      </c>
      <c r="L126" s="15" t="s">
        <v>101</v>
      </c>
      <c r="M126" s="15">
        <v>3</v>
      </c>
    </row>
    <row r="127" spans="1:13" x14ac:dyDescent="0.35">
      <c r="L127" s="15" t="s">
        <v>102</v>
      </c>
      <c r="M127" s="15">
        <v>4</v>
      </c>
    </row>
    <row r="128" spans="1:13" x14ac:dyDescent="0.35">
      <c r="A128" s="1"/>
      <c r="B128" s="1" t="s">
        <v>149</v>
      </c>
    </row>
    <row r="129" spans="1:4" x14ac:dyDescent="0.35">
      <c r="A129" s="1" t="s">
        <v>0</v>
      </c>
      <c r="B129" s="1">
        <v>0.2</v>
      </c>
    </row>
    <row r="130" spans="1:4" x14ac:dyDescent="0.35">
      <c r="A130" s="1" t="s">
        <v>3</v>
      </c>
      <c r="B130" s="1">
        <f>M68*10/10</f>
        <v>0.15</v>
      </c>
    </row>
    <row r="131" spans="1:4" x14ac:dyDescent="0.35">
      <c r="A131" s="1" t="s">
        <v>5</v>
      </c>
      <c r="B131" s="1">
        <f>M69*10/10</f>
        <v>0.1</v>
      </c>
    </row>
    <row r="132" spans="1:4" x14ac:dyDescent="0.35">
      <c r="A132" s="1" t="s">
        <v>7</v>
      </c>
      <c r="B132" s="1">
        <f>M70*10/10</f>
        <v>0.1</v>
      </c>
    </row>
    <row r="133" spans="1:4" x14ac:dyDescent="0.35">
      <c r="A133" s="1" t="s">
        <v>9</v>
      </c>
      <c r="B133" s="1">
        <f>M80*10/10</f>
        <v>0.15</v>
      </c>
    </row>
    <row r="134" spans="1:4" x14ac:dyDescent="0.35">
      <c r="A134" s="1" t="s">
        <v>11</v>
      </c>
      <c r="B134" s="1">
        <f>M72*10/10</f>
        <v>0.3</v>
      </c>
    </row>
    <row r="136" spans="1:4" x14ac:dyDescent="0.35">
      <c r="A136" s="22" t="s">
        <v>16</v>
      </c>
      <c r="B136" s="22" t="s">
        <v>111</v>
      </c>
      <c r="C136" s="21" t="s">
        <v>148</v>
      </c>
      <c r="D136" s="21" t="s">
        <v>152</v>
      </c>
    </row>
    <row r="137" spans="1:4" x14ac:dyDescent="0.35">
      <c r="A137" s="2">
        <v>1</v>
      </c>
      <c r="B137" s="2" t="s">
        <v>52</v>
      </c>
      <c r="C137" s="1">
        <f>(C67*$B$129)+(D67*$B$130)+(E67*$B$131)+(F67*$B$132)+(G67*$B$133)+(H67*$B$134)</f>
        <v>0.43333333333333335</v>
      </c>
      <c r="D137" s="1">
        <f>RANK(C137,$C$137:$C$196)</f>
        <v>23</v>
      </c>
    </row>
    <row r="138" spans="1:4" x14ac:dyDescent="0.35">
      <c r="A138" s="2">
        <v>2</v>
      </c>
      <c r="B138" s="2" t="s">
        <v>42</v>
      </c>
      <c r="C138" s="1">
        <f>(C68*B129)+(D68*$B$130)+(E68*$B$131)+(F68*$B$132)+(G68*$B$133)+(H68*$B$134)</f>
        <v>0.54999999999999993</v>
      </c>
      <c r="D138" s="1">
        <f t="shared" ref="D138:D195" si="63">RANK(C138,$C$137:$C$196)</f>
        <v>6</v>
      </c>
    </row>
    <row r="139" spans="1:4" x14ac:dyDescent="0.35">
      <c r="A139" s="2">
        <v>3</v>
      </c>
      <c r="B139" s="2" t="s">
        <v>51</v>
      </c>
      <c r="C139" s="1">
        <f>(C69*BB$129)+(D69*$B$130)+(E69*$B$131)+(F69*$B$132)+(G69*$B$133)+(H69*$B$134)</f>
        <v>0.31666666666666665</v>
      </c>
      <c r="D139" s="1">
        <f t="shared" si="63"/>
        <v>37</v>
      </c>
    </row>
    <row r="140" spans="1:4" x14ac:dyDescent="0.35">
      <c r="A140" s="2">
        <v>4</v>
      </c>
      <c r="B140" s="2" t="s">
        <v>25</v>
      </c>
      <c r="C140" s="1">
        <f t="shared" ref="C140:C171" si="64">(C70*$B$129)+(D70*$B$130)+(E70*$B$131)+(F70*$B$132)+(G70*$B$133)+(H70*$B$134)</f>
        <v>0.31666666666666665</v>
      </c>
      <c r="D140" s="1">
        <f t="shared" si="63"/>
        <v>37</v>
      </c>
    </row>
    <row r="141" spans="1:4" x14ac:dyDescent="0.35">
      <c r="A141" s="2">
        <v>5</v>
      </c>
      <c r="B141" s="2" t="s">
        <v>45</v>
      </c>
      <c r="C141" s="1">
        <f t="shared" si="64"/>
        <v>0.3</v>
      </c>
      <c r="D141" s="1">
        <f t="shared" si="63"/>
        <v>41</v>
      </c>
    </row>
    <row r="142" spans="1:4" x14ac:dyDescent="0.35">
      <c r="A142" s="2">
        <v>6</v>
      </c>
      <c r="B142" s="2" t="s">
        <v>26</v>
      </c>
      <c r="C142" s="1">
        <f t="shared" si="64"/>
        <v>0.49999999999999994</v>
      </c>
      <c r="D142" s="1">
        <f t="shared" si="63"/>
        <v>14</v>
      </c>
    </row>
    <row r="143" spans="1:4" x14ac:dyDescent="0.35">
      <c r="A143" s="2">
        <v>7</v>
      </c>
      <c r="B143" s="2" t="s">
        <v>35</v>
      </c>
      <c r="C143" s="1">
        <f t="shared" si="64"/>
        <v>0.6</v>
      </c>
      <c r="D143" s="1">
        <f t="shared" si="63"/>
        <v>3</v>
      </c>
    </row>
    <row r="144" spans="1:4" x14ac:dyDescent="0.35">
      <c r="A144" s="2">
        <v>8</v>
      </c>
      <c r="B144" s="2" t="s">
        <v>17</v>
      </c>
      <c r="C144" s="1">
        <f t="shared" si="64"/>
        <v>0.26666666666666666</v>
      </c>
      <c r="D144" s="1">
        <f t="shared" si="63"/>
        <v>46</v>
      </c>
    </row>
    <row r="145" spans="1:4" x14ac:dyDescent="0.35">
      <c r="A145" s="2">
        <v>9</v>
      </c>
      <c r="B145" s="2" t="s">
        <v>46</v>
      </c>
      <c r="C145" s="1">
        <f t="shared" si="64"/>
        <v>0.53333333333333333</v>
      </c>
      <c r="D145" s="1">
        <f t="shared" si="63"/>
        <v>7</v>
      </c>
    </row>
    <row r="146" spans="1:4" x14ac:dyDescent="0.35">
      <c r="A146" s="2">
        <v>10</v>
      </c>
      <c r="B146" s="2" t="s">
        <v>76</v>
      </c>
      <c r="C146" s="1">
        <f t="shared" si="64"/>
        <v>0.51666666666666661</v>
      </c>
      <c r="D146" s="1">
        <f t="shared" si="63"/>
        <v>11</v>
      </c>
    </row>
    <row r="147" spans="1:4" x14ac:dyDescent="0.35">
      <c r="A147" s="2">
        <v>11</v>
      </c>
      <c r="B147" s="2" t="s">
        <v>32</v>
      </c>
      <c r="C147" s="1">
        <f t="shared" si="64"/>
        <v>0.26666666666666666</v>
      </c>
      <c r="D147" s="1">
        <f t="shared" si="63"/>
        <v>46</v>
      </c>
    </row>
    <row r="148" spans="1:4" x14ac:dyDescent="0.35">
      <c r="A148" s="2">
        <v>12</v>
      </c>
      <c r="B148" s="2" t="s">
        <v>24</v>
      </c>
      <c r="C148" s="1">
        <f t="shared" si="64"/>
        <v>0.53333333333333333</v>
      </c>
      <c r="D148" s="1">
        <f t="shared" si="63"/>
        <v>7</v>
      </c>
    </row>
    <row r="149" spans="1:4" x14ac:dyDescent="0.35">
      <c r="A149" s="2">
        <v>13</v>
      </c>
      <c r="B149" s="2" t="s">
        <v>49</v>
      </c>
      <c r="C149" s="1">
        <f t="shared" si="64"/>
        <v>0.43333333333333335</v>
      </c>
      <c r="D149" s="1">
        <f t="shared" si="63"/>
        <v>23</v>
      </c>
    </row>
    <row r="150" spans="1:4" x14ac:dyDescent="0.35">
      <c r="A150" s="2">
        <v>14</v>
      </c>
      <c r="B150" s="2" t="s">
        <v>48</v>
      </c>
      <c r="C150" s="1">
        <f t="shared" si="64"/>
        <v>0.25</v>
      </c>
      <c r="D150" s="1">
        <f t="shared" si="63"/>
        <v>52</v>
      </c>
    </row>
    <row r="151" spans="1:4" x14ac:dyDescent="0.35">
      <c r="A151" s="2">
        <v>15</v>
      </c>
      <c r="B151" s="2" t="s">
        <v>66</v>
      </c>
      <c r="C151" s="1">
        <f t="shared" si="64"/>
        <v>0.26666666666666666</v>
      </c>
      <c r="D151" s="1">
        <f t="shared" si="63"/>
        <v>46</v>
      </c>
    </row>
    <row r="152" spans="1:4" x14ac:dyDescent="0.35">
      <c r="A152" s="2">
        <v>16</v>
      </c>
      <c r="B152" s="2" t="s">
        <v>69</v>
      </c>
      <c r="C152" s="1">
        <f t="shared" si="64"/>
        <v>0.46666666666666667</v>
      </c>
      <c r="D152" s="1">
        <f t="shared" si="63"/>
        <v>18</v>
      </c>
    </row>
    <row r="153" spans="1:4" x14ac:dyDescent="0.35">
      <c r="A153" s="2">
        <v>17</v>
      </c>
      <c r="B153" s="2" t="s">
        <v>68</v>
      </c>
      <c r="C153" s="1">
        <f t="shared" si="64"/>
        <v>0.33333333333333331</v>
      </c>
      <c r="D153" s="1">
        <f t="shared" si="63"/>
        <v>34</v>
      </c>
    </row>
    <row r="154" spans="1:4" x14ac:dyDescent="0.35">
      <c r="A154" s="2">
        <v>18</v>
      </c>
      <c r="B154" s="2" t="s">
        <v>70</v>
      </c>
      <c r="C154" s="1">
        <f t="shared" si="64"/>
        <v>0.28333333333333333</v>
      </c>
      <c r="D154" s="1">
        <f t="shared" si="63"/>
        <v>45</v>
      </c>
    </row>
    <row r="155" spans="1:4" x14ac:dyDescent="0.35">
      <c r="A155" s="2">
        <v>19</v>
      </c>
      <c r="B155" s="2" t="s">
        <v>40</v>
      </c>
      <c r="C155" s="1">
        <f t="shared" si="64"/>
        <v>0.23333333333333334</v>
      </c>
      <c r="D155" s="1">
        <f t="shared" si="63"/>
        <v>53</v>
      </c>
    </row>
    <row r="156" spans="1:4" x14ac:dyDescent="0.35">
      <c r="A156" s="2">
        <v>20</v>
      </c>
      <c r="B156" s="2" t="s">
        <v>78</v>
      </c>
      <c r="C156" s="1">
        <f t="shared" si="64"/>
        <v>0.48333333333333328</v>
      </c>
      <c r="D156" s="1">
        <f t="shared" si="63"/>
        <v>15</v>
      </c>
    </row>
    <row r="157" spans="1:4" x14ac:dyDescent="0.35">
      <c r="A157" s="2">
        <v>21</v>
      </c>
      <c r="B157" s="2" t="s">
        <v>60</v>
      </c>
      <c r="C157" s="1">
        <f t="shared" si="64"/>
        <v>0.6333333333333333</v>
      </c>
      <c r="D157" s="1">
        <f t="shared" si="63"/>
        <v>2</v>
      </c>
    </row>
    <row r="158" spans="1:4" x14ac:dyDescent="0.35">
      <c r="A158" s="2">
        <v>22</v>
      </c>
      <c r="B158" s="2" t="s">
        <v>74</v>
      </c>
      <c r="C158" s="1">
        <f t="shared" si="64"/>
        <v>0.48333333333333328</v>
      </c>
      <c r="D158" s="1">
        <f t="shared" si="63"/>
        <v>15</v>
      </c>
    </row>
    <row r="159" spans="1:4" x14ac:dyDescent="0.35">
      <c r="A159" s="2">
        <v>23</v>
      </c>
      <c r="B159" s="2" t="s">
        <v>53</v>
      </c>
      <c r="C159" s="1">
        <f t="shared" si="64"/>
        <v>0.51666666666666661</v>
      </c>
      <c r="D159" s="1">
        <f t="shared" si="63"/>
        <v>11</v>
      </c>
    </row>
    <row r="160" spans="1:4" x14ac:dyDescent="0.35">
      <c r="A160" s="2">
        <v>24</v>
      </c>
      <c r="B160" s="2" t="s">
        <v>34</v>
      </c>
      <c r="C160" s="1">
        <f t="shared" si="64"/>
        <v>0.43333333333333329</v>
      </c>
      <c r="D160" s="1">
        <f t="shared" si="63"/>
        <v>28</v>
      </c>
    </row>
    <row r="161" spans="1:4" x14ac:dyDescent="0.35">
      <c r="A161" s="2">
        <v>25</v>
      </c>
      <c r="B161" s="2" t="s">
        <v>63</v>
      </c>
      <c r="C161" s="1">
        <f t="shared" si="64"/>
        <v>0.43333333333333335</v>
      </c>
      <c r="D161" s="1">
        <f t="shared" si="63"/>
        <v>23</v>
      </c>
    </row>
    <row r="162" spans="1:4" x14ac:dyDescent="0.35">
      <c r="A162" s="2">
        <v>26</v>
      </c>
      <c r="B162" s="2" t="s">
        <v>33</v>
      </c>
      <c r="C162" s="1">
        <f t="shared" si="64"/>
        <v>0.53333333333333333</v>
      </c>
      <c r="D162" s="1">
        <f t="shared" si="63"/>
        <v>7</v>
      </c>
    </row>
    <row r="163" spans="1:4" x14ac:dyDescent="0.35">
      <c r="A163" s="2">
        <v>27</v>
      </c>
      <c r="B163" s="2" t="s">
        <v>55</v>
      </c>
      <c r="C163" s="1">
        <f t="shared" si="64"/>
        <v>0.3</v>
      </c>
      <c r="D163" s="1">
        <f t="shared" si="63"/>
        <v>41</v>
      </c>
    </row>
    <row r="164" spans="1:4" x14ac:dyDescent="0.35">
      <c r="A164" s="2">
        <v>28</v>
      </c>
      <c r="B164" s="2" t="s">
        <v>61</v>
      </c>
      <c r="C164" s="1">
        <f t="shared" si="64"/>
        <v>0.18333333333333335</v>
      </c>
      <c r="D164" s="1">
        <f t="shared" si="63"/>
        <v>56</v>
      </c>
    </row>
    <row r="165" spans="1:4" x14ac:dyDescent="0.35">
      <c r="A165" s="2">
        <v>29</v>
      </c>
      <c r="B165" s="2" t="s">
        <v>29</v>
      </c>
      <c r="C165" s="1">
        <f t="shared" si="64"/>
        <v>0.43333333333333329</v>
      </c>
      <c r="D165" s="1">
        <f t="shared" si="63"/>
        <v>28</v>
      </c>
    </row>
    <row r="166" spans="1:4" x14ac:dyDescent="0.35">
      <c r="A166" s="2">
        <v>30</v>
      </c>
      <c r="B166" s="2" t="s">
        <v>31</v>
      </c>
      <c r="C166" s="1">
        <f t="shared" si="64"/>
        <v>0.26666666666666666</v>
      </c>
      <c r="D166" s="1">
        <f t="shared" si="63"/>
        <v>46</v>
      </c>
    </row>
    <row r="167" spans="1:4" x14ac:dyDescent="0.35">
      <c r="A167" s="2">
        <v>31</v>
      </c>
      <c r="B167" s="2" t="s">
        <v>22</v>
      </c>
      <c r="C167" s="1">
        <f t="shared" si="64"/>
        <v>0.31666666666666665</v>
      </c>
      <c r="D167" s="1">
        <f t="shared" si="63"/>
        <v>37</v>
      </c>
    </row>
    <row r="168" spans="1:4" x14ac:dyDescent="0.35">
      <c r="A168" s="2">
        <v>32</v>
      </c>
      <c r="B168" s="2" t="s">
        <v>62</v>
      </c>
      <c r="C168" s="1">
        <f t="shared" si="64"/>
        <v>0.13333333333333333</v>
      </c>
      <c r="D168" s="1">
        <f t="shared" si="63"/>
        <v>59</v>
      </c>
    </row>
    <row r="169" spans="1:4" x14ac:dyDescent="0.35">
      <c r="A169" s="2">
        <v>33</v>
      </c>
      <c r="B169" s="2" t="s">
        <v>77</v>
      </c>
      <c r="C169" s="1">
        <f t="shared" si="64"/>
        <v>0.23333333333333334</v>
      </c>
      <c r="D169" s="1">
        <f t="shared" si="63"/>
        <v>53</v>
      </c>
    </row>
    <row r="170" spans="1:4" x14ac:dyDescent="0.35">
      <c r="A170" s="2">
        <v>34</v>
      </c>
      <c r="B170" s="2" t="s">
        <v>29</v>
      </c>
      <c r="C170" s="1">
        <f t="shared" si="64"/>
        <v>0.43333333333333335</v>
      </c>
      <c r="D170" s="1">
        <f t="shared" si="63"/>
        <v>23</v>
      </c>
    </row>
    <row r="171" spans="1:4" x14ac:dyDescent="0.35">
      <c r="A171" s="2">
        <v>35</v>
      </c>
      <c r="B171" s="2" t="s">
        <v>58</v>
      </c>
      <c r="C171" s="1">
        <f t="shared" si="64"/>
        <v>0.46666666666666662</v>
      </c>
      <c r="D171" s="1">
        <f t="shared" si="63"/>
        <v>19</v>
      </c>
    </row>
    <row r="172" spans="1:4" x14ac:dyDescent="0.35">
      <c r="A172" s="2">
        <v>36</v>
      </c>
      <c r="B172" s="2" t="s">
        <v>71</v>
      </c>
      <c r="C172" s="1">
        <f t="shared" ref="C172:C203" si="65">(C102*$B$129)+(D102*$B$130)+(E102*$B$131)+(F102*$B$132)+(G102*$B$133)+(H102*$B$134)</f>
        <v>0.3</v>
      </c>
      <c r="D172" s="1">
        <f t="shared" si="63"/>
        <v>41</v>
      </c>
    </row>
    <row r="173" spans="1:4" x14ac:dyDescent="0.35">
      <c r="A173" s="2">
        <v>37</v>
      </c>
      <c r="B173" s="2" t="s">
        <v>39</v>
      </c>
      <c r="C173" s="1">
        <f t="shared" si="65"/>
        <v>0.35</v>
      </c>
      <c r="D173" s="1">
        <f t="shared" si="63"/>
        <v>33</v>
      </c>
    </row>
    <row r="174" spans="1:4" x14ac:dyDescent="0.35">
      <c r="A174" s="2">
        <v>38</v>
      </c>
      <c r="B174" s="2" t="s">
        <v>59</v>
      </c>
      <c r="C174" s="1">
        <f t="shared" si="65"/>
        <v>0.33333333333333331</v>
      </c>
      <c r="D174" s="1">
        <f t="shared" si="63"/>
        <v>34</v>
      </c>
    </row>
    <row r="175" spans="1:4" x14ac:dyDescent="0.35">
      <c r="A175" s="2">
        <v>39</v>
      </c>
      <c r="B175" s="2" t="s">
        <v>19</v>
      </c>
      <c r="C175" s="1">
        <f t="shared" si="65"/>
        <v>0.13333333333333333</v>
      </c>
      <c r="D175" s="1">
        <f t="shared" si="63"/>
        <v>59</v>
      </c>
    </row>
    <row r="176" spans="1:4" x14ac:dyDescent="0.35">
      <c r="A176" s="2">
        <v>40</v>
      </c>
      <c r="B176" s="2" t="s">
        <v>43</v>
      </c>
      <c r="C176" s="1">
        <f t="shared" si="65"/>
        <v>0.3</v>
      </c>
      <c r="D176" s="1">
        <f t="shared" si="63"/>
        <v>41</v>
      </c>
    </row>
    <row r="177" spans="1:5" x14ac:dyDescent="0.35">
      <c r="A177" s="2">
        <v>41</v>
      </c>
      <c r="B177" s="2" t="s">
        <v>54</v>
      </c>
      <c r="C177" s="1">
        <f t="shared" si="65"/>
        <v>0.44999999999999996</v>
      </c>
      <c r="D177" s="1">
        <f t="shared" si="63"/>
        <v>21</v>
      </c>
    </row>
    <row r="178" spans="1:5" x14ac:dyDescent="0.35">
      <c r="A178" s="2">
        <v>42</v>
      </c>
      <c r="B178" s="2" t="s">
        <v>72</v>
      </c>
      <c r="C178" s="1">
        <f t="shared" si="65"/>
        <v>0.16666666666666669</v>
      </c>
      <c r="D178" s="1">
        <f t="shared" si="63"/>
        <v>57</v>
      </c>
    </row>
    <row r="179" spans="1:5" x14ac:dyDescent="0.35">
      <c r="A179" s="2">
        <v>43</v>
      </c>
      <c r="B179" s="2" t="s">
        <v>57</v>
      </c>
      <c r="C179" s="1">
        <f t="shared" si="65"/>
        <v>0.48333333333333328</v>
      </c>
      <c r="D179" s="1">
        <f t="shared" si="63"/>
        <v>15</v>
      </c>
    </row>
    <row r="180" spans="1:5" x14ac:dyDescent="0.35">
      <c r="A180" s="2">
        <v>44</v>
      </c>
      <c r="B180" s="2" t="s">
        <v>64</v>
      </c>
      <c r="C180" s="1">
        <f t="shared" si="65"/>
        <v>0.39999999999999997</v>
      </c>
      <c r="D180" s="1">
        <f t="shared" si="63"/>
        <v>31</v>
      </c>
    </row>
    <row r="181" spans="1:5" x14ac:dyDescent="0.35">
      <c r="A181" s="2">
        <v>45</v>
      </c>
      <c r="B181" s="2" t="s">
        <v>41</v>
      </c>
      <c r="C181" s="1">
        <f t="shared" si="65"/>
        <v>0.44999999999999996</v>
      </c>
      <c r="D181" s="1">
        <f t="shared" si="63"/>
        <v>21</v>
      </c>
    </row>
    <row r="182" spans="1:5" x14ac:dyDescent="0.35">
      <c r="A182" s="2">
        <v>46</v>
      </c>
      <c r="B182" s="2" t="s">
        <v>37</v>
      </c>
      <c r="C182" s="1">
        <f t="shared" si="65"/>
        <v>0.58333333333333326</v>
      </c>
      <c r="D182" s="1">
        <f t="shared" si="63"/>
        <v>4</v>
      </c>
    </row>
    <row r="183" spans="1:5" x14ac:dyDescent="0.35">
      <c r="A183" s="2">
        <v>47</v>
      </c>
      <c r="B183" s="2" t="s">
        <v>20</v>
      </c>
      <c r="C183" s="1">
        <f t="shared" si="65"/>
        <v>0.53333333333333333</v>
      </c>
      <c r="D183" s="1">
        <f t="shared" si="63"/>
        <v>7</v>
      </c>
    </row>
    <row r="184" spans="1:5" x14ac:dyDescent="0.35">
      <c r="A184" s="2">
        <v>48</v>
      </c>
      <c r="B184" s="2" t="s">
        <v>75</v>
      </c>
      <c r="C184" s="1">
        <f t="shared" si="65"/>
        <v>0.26666666666666666</v>
      </c>
      <c r="D184" s="1">
        <f t="shared" si="63"/>
        <v>46</v>
      </c>
    </row>
    <row r="185" spans="1:5" x14ac:dyDescent="0.35">
      <c r="A185" s="2">
        <v>49</v>
      </c>
      <c r="B185" s="2" t="s">
        <v>56</v>
      </c>
      <c r="C185" s="1">
        <f t="shared" si="65"/>
        <v>0.23333333333333334</v>
      </c>
      <c r="D185" s="1">
        <f t="shared" si="63"/>
        <v>53</v>
      </c>
    </row>
    <row r="186" spans="1:5" x14ac:dyDescent="0.35">
      <c r="A186" s="2">
        <v>50</v>
      </c>
      <c r="B186" s="2" t="s">
        <v>50</v>
      </c>
      <c r="C186" s="1">
        <f t="shared" si="65"/>
        <v>0.78333333333333344</v>
      </c>
      <c r="D186" s="1">
        <f t="shared" si="63"/>
        <v>1</v>
      </c>
      <c r="E186" s="19" t="s">
        <v>155</v>
      </c>
    </row>
    <row r="187" spans="1:5" x14ac:dyDescent="0.35">
      <c r="A187" s="2">
        <v>51</v>
      </c>
      <c r="B187" s="2" t="s">
        <v>67</v>
      </c>
      <c r="C187" s="1">
        <f t="shared" si="65"/>
        <v>0.39999999999999997</v>
      </c>
      <c r="D187" s="1">
        <f t="shared" si="63"/>
        <v>31</v>
      </c>
    </row>
    <row r="188" spans="1:5" x14ac:dyDescent="0.35">
      <c r="A188" s="2">
        <v>52</v>
      </c>
      <c r="B188" s="2" t="s">
        <v>44</v>
      </c>
      <c r="C188" s="1">
        <f t="shared" si="65"/>
        <v>0.31666666666666665</v>
      </c>
      <c r="D188" s="1">
        <f t="shared" si="63"/>
        <v>37</v>
      </c>
    </row>
    <row r="189" spans="1:5" x14ac:dyDescent="0.35">
      <c r="A189" s="2">
        <v>53</v>
      </c>
      <c r="B189" s="2" t="s">
        <v>47</v>
      </c>
      <c r="C189" s="1">
        <f t="shared" si="65"/>
        <v>0.26666666666666666</v>
      </c>
      <c r="D189" s="1">
        <f t="shared" si="63"/>
        <v>46</v>
      </c>
    </row>
    <row r="190" spans="1:5" x14ac:dyDescent="0.35">
      <c r="A190" s="2">
        <v>54</v>
      </c>
      <c r="B190" s="2" t="s">
        <v>30</v>
      </c>
      <c r="C190" s="1">
        <f t="shared" si="65"/>
        <v>0.33333333333333331</v>
      </c>
      <c r="D190" s="1">
        <f t="shared" si="63"/>
        <v>34</v>
      </c>
    </row>
    <row r="191" spans="1:5" x14ac:dyDescent="0.35">
      <c r="A191" s="2">
        <v>55</v>
      </c>
      <c r="B191" s="2" t="s">
        <v>65</v>
      </c>
      <c r="C191" s="1">
        <f t="shared" si="65"/>
        <v>0.46666666666666662</v>
      </c>
      <c r="D191" s="1">
        <f t="shared" si="63"/>
        <v>19</v>
      </c>
    </row>
    <row r="192" spans="1:5" x14ac:dyDescent="0.35">
      <c r="A192" s="2">
        <v>56</v>
      </c>
      <c r="B192" s="2" t="s">
        <v>79</v>
      </c>
      <c r="C192" s="1">
        <f t="shared" si="65"/>
        <v>0.16666666666666666</v>
      </c>
      <c r="D192" s="1">
        <f t="shared" si="63"/>
        <v>58</v>
      </c>
    </row>
    <row r="193" spans="1:4" x14ac:dyDescent="0.35">
      <c r="A193" s="2">
        <v>57</v>
      </c>
      <c r="B193" s="2" t="s">
        <v>38</v>
      </c>
      <c r="C193" s="1">
        <f t="shared" si="65"/>
        <v>0.4</v>
      </c>
      <c r="D193" s="1">
        <f t="shared" si="63"/>
        <v>30</v>
      </c>
    </row>
    <row r="194" spans="1:4" x14ac:dyDescent="0.35">
      <c r="A194" s="2">
        <v>58</v>
      </c>
      <c r="B194" s="2" t="s">
        <v>73</v>
      </c>
      <c r="C194" s="1">
        <f t="shared" si="65"/>
        <v>0.43333333333333335</v>
      </c>
      <c r="D194" s="1">
        <f t="shared" si="63"/>
        <v>23</v>
      </c>
    </row>
    <row r="195" spans="1:4" x14ac:dyDescent="0.35">
      <c r="A195" s="2">
        <v>59</v>
      </c>
      <c r="B195" s="2" t="s">
        <v>36</v>
      </c>
      <c r="C195" s="1">
        <f t="shared" si="65"/>
        <v>0.55000000000000004</v>
      </c>
      <c r="D195" s="1">
        <f t="shared" si="63"/>
        <v>5</v>
      </c>
    </row>
    <row r="196" spans="1:4" x14ac:dyDescent="0.35">
      <c r="A196" s="2">
        <v>60</v>
      </c>
      <c r="B196" s="2" t="s">
        <v>28</v>
      </c>
      <c r="C196" s="1">
        <f t="shared" si="65"/>
        <v>0.5</v>
      </c>
      <c r="D196" s="1">
        <f>RANK(C196,$C$137:$C$196)</f>
        <v>13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Diki wlya</dc:creator>
  <cp:lastModifiedBy>Diki wlya</cp:lastModifiedBy>
  <dcterms:created xsi:type="dcterms:W3CDTF">2025-06-19T19:21:11Z</dcterms:created>
  <dcterms:modified xsi:type="dcterms:W3CDTF">2025-06-20T12:49:56Z</dcterms:modified>
</cp:coreProperties>
</file>